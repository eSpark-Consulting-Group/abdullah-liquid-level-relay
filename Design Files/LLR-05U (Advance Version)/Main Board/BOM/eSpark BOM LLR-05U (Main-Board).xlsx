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bdullah-liquidlevelrelay\Design Files\LLR-05U (Advance Version)\Main Board\BOM\"/>
    </mc:Choice>
  </mc:AlternateContent>
  <xr:revisionPtr revIDLastSave="0" documentId="13_ncr:1_{32C4BD00-A662-4587-BC9A-BB62DDD592A4}" xr6:coauthVersionLast="36" xr6:coauthVersionMax="36" xr10:uidLastSave="{00000000-0000-0000-0000-000000000000}"/>
  <bookViews>
    <workbookView xWindow="28680" yWindow="-120" windowWidth="29040" windowHeight="15840" activeTab="2" xr2:uid="{00000000-000D-0000-FFFF-FFFF00000000}"/>
  </bookViews>
  <sheets>
    <sheet name="5 Boards" sheetId="1" r:id="rId1"/>
    <sheet name="1000 Boards" sheetId="2" r:id="rId2"/>
    <sheet name="5 Boards Low Cost" sheetId="3" r:id="rId3"/>
  </sheets>
  <calcPr calcId="191029"/>
</workbook>
</file>

<file path=xl/calcChain.xml><?xml version="1.0" encoding="utf-8"?>
<calcChain xmlns="http://schemas.openxmlformats.org/spreadsheetml/2006/main">
  <c r="Q23" i="3" l="1"/>
  <c r="M23" i="3"/>
  <c r="B23" i="3"/>
  <c r="Q22" i="3"/>
  <c r="M22" i="3"/>
  <c r="B22" i="3"/>
  <c r="Q21" i="3"/>
  <c r="M21" i="3"/>
  <c r="B21" i="3"/>
  <c r="Q20" i="3"/>
  <c r="M20" i="3"/>
  <c r="B20" i="3"/>
  <c r="Q19" i="3"/>
  <c r="M19" i="3"/>
  <c r="B19" i="3"/>
  <c r="Q18" i="3"/>
  <c r="M18" i="3"/>
  <c r="B18" i="3"/>
  <c r="Q17" i="3"/>
  <c r="M17" i="3"/>
  <c r="B17" i="3"/>
  <c r="Q16" i="3"/>
  <c r="M16" i="3"/>
  <c r="B16" i="3"/>
  <c r="Q15" i="3"/>
  <c r="M15" i="3"/>
  <c r="B15" i="3"/>
  <c r="Q14" i="3"/>
  <c r="M14" i="3"/>
  <c r="B14" i="3"/>
  <c r="Q13" i="3"/>
  <c r="M13" i="3"/>
  <c r="B13" i="3"/>
  <c r="Q12" i="3"/>
  <c r="M12" i="3"/>
  <c r="B12" i="3"/>
  <c r="Q11" i="3"/>
  <c r="M11" i="3"/>
  <c r="B11" i="3"/>
  <c r="Q10" i="3"/>
  <c r="M10" i="3"/>
  <c r="B10" i="3"/>
  <c r="Q9" i="3"/>
  <c r="M9" i="3"/>
  <c r="B9" i="3"/>
  <c r="Q8" i="3"/>
  <c r="M8" i="3"/>
  <c r="B8" i="3"/>
  <c r="Q24" i="3" l="1"/>
  <c r="Q25" i="3" s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8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9" i="2"/>
  <c r="B9" i="2"/>
  <c r="Q8" i="2"/>
  <c r="B8" i="2"/>
  <c r="Q24" i="1"/>
  <c r="Q24" i="2" l="1"/>
  <c r="Q25" i="2" s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25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<sst xmlns="http://schemas.openxmlformats.org/spreadsheetml/2006/main" count="458" uniqueCount="127">
  <si>
    <t>Component list</t>
  </si>
  <si>
    <t>Project:</t>
  </si>
  <si>
    <t>#</t>
  </si>
  <si>
    <t xml:space="preserve">Total Component Cost </t>
  </si>
  <si>
    <t>Single Board Cost</t>
  </si>
  <si>
    <t>Bill of Materials for Project [LLR-05U (Main-Board).PrjPcb] (No PCB Document Selected)</t>
  </si>
  <si>
    <t>LLR-05U (Main-Board).PrjPcb</t>
  </si>
  <si>
    <t>Item Type</t>
  </si>
  <si>
    <t>Capacitor</t>
  </si>
  <si>
    <t>Bridge Rectifier</t>
  </si>
  <si>
    <t>Diode</t>
  </si>
  <si>
    <t>Screw terminal</t>
  </si>
  <si>
    <t>Pin Header</t>
  </si>
  <si>
    <t>Transistors</t>
  </si>
  <si>
    <t>Resistor</t>
  </si>
  <si>
    <t>Optocoupler</t>
  </si>
  <si>
    <t>Designator</t>
  </si>
  <si>
    <t>C1</t>
  </si>
  <si>
    <t>C5</t>
  </si>
  <si>
    <t>D1, D3</t>
  </si>
  <si>
    <t>D2</t>
  </si>
  <si>
    <t>D4, D5, D6</t>
  </si>
  <si>
    <t>J1, J2</t>
  </si>
  <si>
    <t>J3</t>
  </si>
  <si>
    <t>J4</t>
  </si>
  <si>
    <t>Q2, Q4</t>
  </si>
  <si>
    <t>R1</t>
  </si>
  <si>
    <t>R7, R-U1</t>
  </si>
  <si>
    <t>R11, R25</t>
  </si>
  <si>
    <t>R13, R14</t>
  </si>
  <si>
    <t>RL1</t>
  </si>
  <si>
    <t>TRF1</t>
  </si>
  <si>
    <t>U1, U2</t>
  </si>
  <si>
    <t>Description</t>
  </si>
  <si>
    <t>330uF 35V ±20% Plugin,D10xL13mm Aluminum Electrolytic Capacitors - Leaded ROHS</t>
  </si>
  <si>
    <t>47uF 50V ±20% 180mA@100kHz Plugin,D6.3xL12mm Aluminum Electrolytic Capacitors - Leaded ROHS</t>
  </si>
  <si>
    <t>35A 1.1V@400mA 1A 1kV MBS Bridge Rectifiers ROHS</t>
  </si>
  <si>
    <t>75V 1V@10mA 4ns 200mA LL-34 Switching Diode ROHS</t>
  </si>
  <si>
    <t>1A 1.1V@1A 1kV DO-214AC Diodes - General Purpose ROHS</t>
  </si>
  <si>
    <t>Copper Alloy 1x3P Tin 6.35mm 4 1 3 -40℃~+105℃ 30A 300V Green 10~26 Straight Plugin,P=6.35mm Screw terminal ROHS</t>
  </si>
  <si>
    <t>Copper Alloy 1x2P Tin 6.35mm 4 1 2 -40℃~+105℃ 30A 300V Green 10~26 Straight Plugin,P=6.35mm Screw terminal ROHS</t>
  </si>
  <si>
    <t>3A Straight Square Pins 10P 3mm -40℃~+105℃ 3mm 2.54mm 双排 Black 2x5P 2.54mm Plugin,P=2.54mm Pin Headers ROHS</t>
  </si>
  <si>
    <t>65V 200mW 220@2mA,5V 100mA PNP SOT-23 Bipolar Transistors - BJT ROHS</t>
  </si>
  <si>
    <t>125mW Thick Film Resistors 150V ±1% ±200ppm/℃ 10Ω 0805 Chip Resistor - Surface Mount ROHS</t>
  </si>
  <si>
    <t>250mW Thick Film Resistors 200V ±100ppm/℃ ±1% 2.2kΩ 1206 Chip Resistor - Surface Mount ROHS</t>
  </si>
  <si>
    <t>RES SMD 1K OHM 0.1% 1/10W 0603</t>
  </si>
  <si>
    <t>RES SMD 47K OHM 0.1% 1/10W 0603</t>
  </si>
  <si>
    <t>80V 3.75kV 50mA 300mV@2.4mA,8mA 1 5V 1.25V DC SOP-4-2.54mm Transistor Output Optocoupler ROHS</t>
  </si>
  <si>
    <t>Footprint</t>
  </si>
  <si>
    <t>Plugin,D6.3xL12mm</t>
  </si>
  <si>
    <t>MBS10S</t>
  </si>
  <si>
    <t>LL-34</t>
  </si>
  <si>
    <t>SMA(DO-214AC)</t>
  </si>
  <si>
    <t>MX635-6.35-03P-GN01-Cu-PS-A</t>
  </si>
  <si>
    <t>MX635-6.35-02P-GN01-Cu-PS-A</t>
  </si>
  <si>
    <t>PH-01338</t>
  </si>
  <si>
    <t>SOT-23</t>
  </si>
  <si>
    <t>RES-0805</t>
  </si>
  <si>
    <t>Res-1206</t>
  </si>
  <si>
    <t>Res-0603</t>
  </si>
  <si>
    <t>RELAY-TH_HF3FA-012-ZST</t>
  </si>
  <si>
    <t>SOP-4_2.54</t>
  </si>
  <si>
    <t>Manufacturer Part Number</t>
  </si>
  <si>
    <t>ERS1VM331G13OT</t>
  </si>
  <si>
    <t>03EC0571</t>
  </si>
  <si>
    <t>MB10S</t>
  </si>
  <si>
    <t>LL4148</t>
  </si>
  <si>
    <t>M7</t>
  </si>
  <si>
    <t>BC856B</t>
  </si>
  <si>
    <t>0805W8F100JT5E</t>
  </si>
  <si>
    <t>1206W4F2201T5E</t>
  </si>
  <si>
    <t>RT0603BRD071KL</t>
  </si>
  <si>
    <t>RT0603BRD0747KL</t>
  </si>
  <si>
    <t>TLP185(GB-TPL,SE(T</t>
  </si>
  <si>
    <t>Manufacturer</t>
  </si>
  <si>
    <t>AISHI</t>
  </si>
  <si>
    <t>KNSCHA</t>
  </si>
  <si>
    <t>MDD</t>
  </si>
  <si>
    <t>MSKSEMI</t>
  </si>
  <si>
    <t>MAX</t>
  </si>
  <si>
    <t>Liansheng</t>
  </si>
  <si>
    <t>Guangdong Hottech</t>
  </si>
  <si>
    <t>Royal Electronic Factory</t>
  </si>
  <si>
    <t>Uniroyal</t>
  </si>
  <si>
    <t>Yageo</t>
  </si>
  <si>
    <t>HF(宏发)</t>
  </si>
  <si>
    <t>TOSHIBA</t>
  </si>
  <si>
    <t>LCSC Part Number</t>
  </si>
  <si>
    <t>C2990931</t>
  </si>
  <si>
    <t>C2831773</t>
  </si>
  <si>
    <t>C435829</t>
  </si>
  <si>
    <t>C2902910</t>
  </si>
  <si>
    <t>C5188490</t>
  </si>
  <si>
    <t>C5188489</t>
  </si>
  <si>
    <t>C2685218</t>
  </si>
  <si>
    <t>C181144</t>
  </si>
  <si>
    <t>C17415</t>
  </si>
  <si>
    <t>C17948</t>
  </si>
  <si>
    <t>C110776</t>
  </si>
  <si>
    <t>C326725</t>
  </si>
  <si>
    <t>C7240</t>
  </si>
  <si>
    <t>Comment</t>
  </si>
  <si>
    <t>330uF</t>
  </si>
  <si>
    <t>47uF</t>
  </si>
  <si>
    <t>10R</t>
  </si>
  <si>
    <t>2.2K</t>
  </si>
  <si>
    <t>1K</t>
  </si>
  <si>
    <t>47K</t>
  </si>
  <si>
    <t>HF3FA-012-ZSTF</t>
  </si>
  <si>
    <t>ASL 104212 (???)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</si>
  <si>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</si>
  <si>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</si>
  <si>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</si>
  <si>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</si>
  <si>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</si>
  <si>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</si>
  <si>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</si>
  <si>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</si>
  <si>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LCSC</t>
  </si>
  <si>
    <t>C2488</t>
  </si>
  <si>
    <t>C190455</t>
  </si>
  <si>
    <t>Other</t>
  </si>
  <si>
    <t>Quantity (1000 Boards)</t>
  </si>
  <si>
    <t>MOQ (1000 Boards)</t>
  </si>
  <si>
    <t>Unit Cost (1000 Boards)</t>
  </si>
  <si>
    <t>Total Cost (1000 Boards)</t>
  </si>
  <si>
    <t>Alternate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</si>
</sst>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8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3" fillId="3" borderId="8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165" fontId="16" fillId="2" borderId="10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166" fontId="13" fillId="3" borderId="9" xfId="0" quotePrefix="1" applyNumberFormat="1" applyFont="1" applyFill="1" applyBorder="1" applyAlignment="1">
      <alignment horizontal="center" vertical="center" wrapText="1"/>
    </xf>
    <xf numFmtId="166" fontId="13" fillId="3" borderId="14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 wrapText="1"/>
    </xf>
    <xf numFmtId="165" fontId="16" fillId="2" borderId="11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1" fillId="3" borderId="0" xfId="0" applyFont="1" applyFill="1" applyBorder="1"/>
    <xf numFmtId="0" fontId="11" fillId="3" borderId="8" xfId="0" applyFont="1" applyFill="1" applyBorder="1"/>
    <xf numFmtId="0" fontId="8" fillId="3" borderId="8" xfId="0" applyFont="1" applyFill="1" applyBorder="1"/>
    <xf numFmtId="0" fontId="13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/>
    </xf>
    <xf numFmtId="0" fontId="14" fillId="3" borderId="0" xfId="0" applyFont="1" applyFill="1" applyBorder="1"/>
    <xf numFmtId="0" fontId="9" fillId="3" borderId="0" xfId="0" applyFont="1" applyFill="1" applyBorder="1"/>
    <xf numFmtId="0" fontId="5" fillId="3" borderId="0" xfId="0" applyFont="1" applyFill="1" applyBorder="1" applyAlignment="1">
      <alignment horizontal="center"/>
    </xf>
    <xf numFmtId="164" fontId="11" fillId="3" borderId="0" xfId="0" applyNumberFormat="1" applyFont="1" applyFill="1" applyBorder="1" applyAlignment="1">
      <alignment horizontal="left"/>
    </xf>
    <xf numFmtId="0" fontId="19" fillId="0" borderId="0" xfId="0" applyFont="1"/>
    <xf numFmtId="0" fontId="13" fillId="3" borderId="0" xfId="0" applyFont="1" applyFill="1" applyBorder="1" applyAlignment="1">
      <alignment horizontal="center"/>
    </xf>
    <xf numFmtId="0" fontId="13" fillId="3" borderId="8" xfId="0" quotePrefix="1" applyFont="1" applyFill="1" applyBorder="1" applyAlignment="1">
      <alignment vertical="center"/>
    </xf>
    <xf numFmtId="0" fontId="10" fillId="3" borderId="8" xfId="0" quotePrefix="1" applyFont="1" applyFill="1" applyBorder="1" applyAlignment="1">
      <alignment horizontal="left"/>
    </xf>
    <xf numFmtId="0" fontId="21" fillId="2" borderId="10" xfId="1" applyFill="1" applyBorder="1" applyAlignment="1">
      <alignment horizontal="center" vertical="center" wrapText="1"/>
    </xf>
    <xf numFmtId="0" fontId="21" fillId="2" borderId="11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0" fillId="3" borderId="13" xfId="0" applyFont="1" applyFill="1" applyBorder="1" applyAlignment="1" applyProtection="1">
      <alignment horizontal="center" vertical="top"/>
      <protection locked="0"/>
    </xf>
    <xf numFmtId="0" fontId="20" fillId="3" borderId="8" xfId="0" applyFont="1" applyFill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5</xdr:row>
      <xdr:rowOff>161033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22325" y="257175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7</xdr:row>
      <xdr:rowOff>18158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3AFCF-BE5D-4DA2-9383-D132FB917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812750" y="257175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1</xdr:row>
      <xdr:rowOff>57150</xdr:rowOff>
    </xdr:from>
    <xdr:to>
      <xdr:col>18</xdr:col>
      <xdr:colOff>1752600</xdr:colOff>
      <xdr:row>7</xdr:row>
      <xdr:rowOff>18158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5D2A6-3A9B-4878-87D7-A78C0CBBC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812750" y="257175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Pin-Headers_Liansheng-PH-01338_C2685218.html" TargetMode="External"/><Relationship Id="rId13" Type="http://schemas.openxmlformats.org/officeDocument/2006/relationships/hyperlink" Target="https://www.lcsc.com/product-detail/Chip-Resistor-Surface-Mount_YAGEO-RT0603BRD0747KL_C326725.html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lcsc.com/product-detail/Bridge-Rectifiers_MDD-Microdiode-Electronics-MB10S_C2488.html" TargetMode="External"/><Relationship Id="rId7" Type="http://schemas.openxmlformats.org/officeDocument/2006/relationships/hyperlink" Target="https://www.lcsc.com/product-detail/Screw-terminal_MAX-MX635-6-35-02P-GN01-Cu-PS-A_C5188489.html" TargetMode="External"/><Relationship Id="rId12" Type="http://schemas.openxmlformats.org/officeDocument/2006/relationships/hyperlink" Target="https://www.lcsc.com/product-detail/Chip-Resistor-Surface-Mount_YAGEO-RT0603BRD071KL_C110776.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Aluminum-Electrolytic-Capacitors-Leaded_KNSCHA-03EC0571_C2831773.html" TargetMode="External"/><Relationship Id="rId16" Type="http://schemas.openxmlformats.org/officeDocument/2006/relationships/hyperlink" Target="https://www.lcsc.com/product-detail/Transistor-Output-Optocoupler_TOSHIBA-TLP185-GB-TPL-SE-T_C7240.html" TargetMode="External"/><Relationship Id="rId1" Type="http://schemas.openxmlformats.org/officeDocument/2006/relationships/hyperlink" Target="https://www.lcsc.com/product-detail/Aluminum-Electrolytic-Capacitors-Leaded_AISHI-Aihua-Group-ERS1VM331G13OT_C2990931.html" TargetMode="External"/><Relationship Id="rId6" Type="http://schemas.openxmlformats.org/officeDocument/2006/relationships/hyperlink" Target="https://www.lcsc.com/product-detail/Screw-terminal_MAX-MX635-6-35-03P-GN01-Cu-PS-A_C5188490.html" TargetMode="External"/><Relationship Id="rId11" Type="http://schemas.openxmlformats.org/officeDocument/2006/relationships/hyperlink" Target="https://www.lcsc.com/product-detail/Chip-Resistor-Surface-Mount_UNI-ROYAL-Uniroyal-Elec-1206W4F2201T5E_C17948.html" TargetMode="External"/><Relationship Id="rId5" Type="http://schemas.openxmlformats.org/officeDocument/2006/relationships/hyperlink" Target="https://www.lcsc.com/product-detail/Diodes-General-Purpose_MSKSEMI-M7_C2902910.html" TargetMode="External"/><Relationship Id="rId15" Type="http://schemas.openxmlformats.org/officeDocument/2006/relationships/hyperlink" Target="https://www.aslanelektronik.com/" TargetMode="External"/><Relationship Id="rId10" Type="http://schemas.openxmlformats.org/officeDocument/2006/relationships/hyperlink" Target="https://www.lcsc.com/product-detail/Chip-Resistor-Surface-Mount_UNI-ROYAL-Uniroyal-Elec-0805W8F100JT5E_C17415.html" TargetMode="External"/><Relationship Id="rId4" Type="http://schemas.openxmlformats.org/officeDocument/2006/relationships/hyperlink" Target="https://www.lcsc.com/product-detail/Switching-Diode_MDD-Microdiode-Electronics-LL4148_C435829.html" TargetMode="External"/><Relationship Id="rId9" Type="http://schemas.openxmlformats.org/officeDocument/2006/relationships/hyperlink" Target="https://www.lcsc.com/product-detail/Bipolar-Transistors-BJT_Guangdong-Hottech-BC856B_C181144.html" TargetMode="External"/><Relationship Id="rId14" Type="http://schemas.openxmlformats.org/officeDocument/2006/relationships/hyperlink" Target="https://www.lcsc.com/product-detail/Power-Relays_HF-Xiamen-Hongfa-Electroacoustic-HF3FA-012-ZSTF_C19045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Pin-Headers_Liansheng-PH-01338_C2685218.html" TargetMode="External"/><Relationship Id="rId13" Type="http://schemas.openxmlformats.org/officeDocument/2006/relationships/hyperlink" Target="https://www.lcsc.com/product-detail/Chip-Resistor-Surface-Mount_YAGEO-RT0603BRD0747KL_C326725.html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https://www.lcsc.com/product-detail/Bridge-Rectifiers_MDD-Microdiode-Electronics-MB10S_C2488.html" TargetMode="External"/><Relationship Id="rId7" Type="http://schemas.openxmlformats.org/officeDocument/2006/relationships/hyperlink" Target="https://www.lcsc.com/product-detail/Screw-terminal_MAX-MX635-6-35-02P-GN01-Cu-PS-A_C5188489.html" TargetMode="External"/><Relationship Id="rId12" Type="http://schemas.openxmlformats.org/officeDocument/2006/relationships/hyperlink" Target="https://www.lcsc.com/product-detail/Chip-Resistor-Surface-Mount_YAGEO-RT0603BRD071KL_C110776.html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lcsc.com/product-detail/Aluminum-Electrolytic-Capacitors-Leaded_KNSCHA-03EC0571_C2831773.html" TargetMode="External"/><Relationship Id="rId16" Type="http://schemas.openxmlformats.org/officeDocument/2006/relationships/hyperlink" Target="https://www.lcsc.com/product-detail/Transistor-Output-Optocoupler_TOSHIBA-TLP185-GB-TPL-SE-T_C7240.html" TargetMode="External"/><Relationship Id="rId1" Type="http://schemas.openxmlformats.org/officeDocument/2006/relationships/hyperlink" Target="https://www.lcsc.com/product-detail/Aluminum-Electrolytic-Capacitors-Leaded_AISHI-Aihua-Group-ERS1VM331G13OT_C2990931.html" TargetMode="External"/><Relationship Id="rId6" Type="http://schemas.openxmlformats.org/officeDocument/2006/relationships/hyperlink" Target="https://www.lcsc.com/product-detail/Screw-terminal_MAX-MX635-6-35-03P-GN01-Cu-PS-A_C5188490.html" TargetMode="External"/><Relationship Id="rId11" Type="http://schemas.openxmlformats.org/officeDocument/2006/relationships/hyperlink" Target="https://www.lcsc.com/product-detail/Chip-Resistor-Surface-Mount_UNI-ROYAL-Uniroyal-Elec-1206W4F2201T5E_C17948.html" TargetMode="External"/><Relationship Id="rId5" Type="http://schemas.openxmlformats.org/officeDocument/2006/relationships/hyperlink" Target="https://www.lcsc.com/product-detail/Diodes-General-Purpose_MSKSEMI-M7_C2902910.html" TargetMode="External"/><Relationship Id="rId15" Type="http://schemas.openxmlformats.org/officeDocument/2006/relationships/hyperlink" Target="https://www.aslanelektronik.com/" TargetMode="External"/><Relationship Id="rId10" Type="http://schemas.openxmlformats.org/officeDocument/2006/relationships/hyperlink" Target="https://www.lcsc.com/product-detail/Chip-Resistor-Surface-Mount_UNI-ROYAL-Uniroyal-Elec-0805W8F100JT5E_C17415.html" TargetMode="External"/><Relationship Id="rId4" Type="http://schemas.openxmlformats.org/officeDocument/2006/relationships/hyperlink" Target="https://www.lcsc.com/product-detail/Switching-Diode_MDD-Microdiode-Electronics-LL4148_C435829.html" TargetMode="External"/><Relationship Id="rId9" Type="http://schemas.openxmlformats.org/officeDocument/2006/relationships/hyperlink" Target="https://www.lcsc.com/product-detail/Bipolar-Transistors-BJT_Guangdong-Hottech-BC856B_C181144.html" TargetMode="External"/><Relationship Id="rId14" Type="http://schemas.openxmlformats.org/officeDocument/2006/relationships/hyperlink" Target="https://www.lcsc.com/product-detail/Power-Relays_HF-Xiamen-Hongfa-Electroacoustic-HF3FA-012-ZSTF_C190455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7"/>
  <sheetViews>
    <sheetView workbookViewId="0">
      <selection activeCell="A2" sqref="A1:XFD1048576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5"/>
      <c r="L1" s="45"/>
      <c r="M1" s="45"/>
      <c r="N1" s="45"/>
      <c r="O1" s="45"/>
      <c r="P1" s="45"/>
      <c r="Q1" s="45"/>
      <c r="R1" s="45"/>
      <c r="S1" s="46"/>
    </row>
    <row r="2" spans="1:19" ht="32.25" thickBot="1" x14ac:dyDescent="0.3">
      <c r="A2" s="1"/>
      <c r="B2" s="7"/>
      <c r="C2" s="13"/>
      <c r="D2" s="4" t="s">
        <v>0</v>
      </c>
      <c r="E2" s="4"/>
      <c r="F2" s="41" t="s">
        <v>5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49"/>
    </row>
    <row r="3" spans="1:19" ht="16.5" thickBot="1" x14ac:dyDescent="0.3">
      <c r="A3" s="1"/>
      <c r="B3" s="8"/>
      <c r="C3" s="27"/>
      <c r="D3" s="40" t="s">
        <v>1</v>
      </c>
      <c r="E3" s="28"/>
      <c r="F3" s="42" t="s">
        <v>6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50"/>
    </row>
    <row r="4" spans="1:19" x14ac:dyDescent="0.25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50"/>
    </row>
    <row r="5" spans="1:19" x14ac:dyDescent="0.25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50"/>
    </row>
    <row r="6" spans="1:19" ht="15.75" thickBot="1" x14ac:dyDescent="0.3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51"/>
    </row>
    <row r="7" spans="1:19" ht="15.75" thickBot="1" x14ac:dyDescent="0.3">
      <c r="A7" s="1"/>
      <c r="B7" s="12" t="s">
        <v>2</v>
      </c>
      <c r="C7" s="12" t="s">
        <v>7</v>
      </c>
      <c r="D7" s="12" t="s">
        <v>16</v>
      </c>
      <c r="E7" s="12" t="s">
        <v>33</v>
      </c>
      <c r="F7" s="12" t="s">
        <v>48</v>
      </c>
      <c r="G7" s="12" t="s">
        <v>62</v>
      </c>
      <c r="H7" s="12" t="s">
        <v>74</v>
      </c>
      <c r="I7" s="12" t="s">
        <v>126</v>
      </c>
      <c r="J7" s="12" t="s">
        <v>87</v>
      </c>
      <c r="K7" s="12" t="s">
        <v>101</v>
      </c>
      <c r="L7" s="12" t="s">
        <v>110</v>
      </c>
      <c r="M7" s="12" t="s">
        <v>111</v>
      </c>
      <c r="N7" s="12" t="s">
        <v>112</v>
      </c>
      <c r="O7" s="12" t="s">
        <v>113</v>
      </c>
      <c r="P7" s="12" t="s">
        <v>114</v>
      </c>
      <c r="Q7" s="12" t="s">
        <v>115</v>
      </c>
      <c r="R7" s="12" t="s">
        <v>116</v>
      </c>
      <c r="S7" s="12" t="s">
        <v>117</v>
      </c>
    </row>
    <row r="8" spans="1:19" ht="36" x14ac:dyDescent="0.25">
      <c r="A8" s="1"/>
      <c r="B8" s="16">
        <f>ROW(B8) - ROW($B$7)</f>
        <v>1</v>
      </c>
      <c r="C8" s="23" t="s">
        <v>8</v>
      </c>
      <c r="D8" s="14" t="s">
        <v>17</v>
      </c>
      <c r="E8" s="14" t="s">
        <v>34</v>
      </c>
      <c r="F8" s="14"/>
      <c r="G8" s="14" t="s">
        <v>63</v>
      </c>
      <c r="H8" s="14" t="s">
        <v>75</v>
      </c>
      <c r="I8" s="14"/>
      <c r="J8" s="14" t="s">
        <v>88</v>
      </c>
      <c r="K8" s="14" t="s">
        <v>102</v>
      </c>
      <c r="L8" s="14">
        <v>1</v>
      </c>
      <c r="M8" s="14">
        <f>L8*5</f>
        <v>5</v>
      </c>
      <c r="N8" s="14">
        <v>10</v>
      </c>
      <c r="O8" s="43" t="s">
        <v>118</v>
      </c>
      <c r="P8" s="15">
        <v>5.8599999999999999E-2</v>
      </c>
      <c r="Q8" s="15">
        <f>P8*N8</f>
        <v>0.58599999999999997</v>
      </c>
      <c r="R8" s="14"/>
      <c r="S8" s="20"/>
    </row>
    <row r="9" spans="1:19" ht="36" x14ac:dyDescent="0.25">
      <c r="A9" s="1"/>
      <c r="B9" s="17">
        <f t="shared" ref="B9:B23" si="0">ROW(B9) - ROW($B$7)</f>
        <v>2</v>
      </c>
      <c r="C9" s="24" t="s">
        <v>8</v>
      </c>
      <c r="D9" s="21" t="s">
        <v>18</v>
      </c>
      <c r="E9" s="21" t="s">
        <v>35</v>
      </c>
      <c r="F9" s="21" t="s">
        <v>49</v>
      </c>
      <c r="G9" s="21" t="s">
        <v>64</v>
      </c>
      <c r="H9" s="21" t="s">
        <v>76</v>
      </c>
      <c r="I9" s="21"/>
      <c r="J9" s="21" t="s">
        <v>89</v>
      </c>
      <c r="K9" s="21" t="s">
        <v>103</v>
      </c>
      <c r="L9" s="21">
        <v>1</v>
      </c>
      <c r="M9" s="21">
        <f t="shared" ref="M9" si="1">L9*5</f>
        <v>5</v>
      </c>
      <c r="N9" s="21">
        <v>20</v>
      </c>
      <c r="O9" s="44" t="s">
        <v>118</v>
      </c>
      <c r="P9" s="22">
        <v>1.7899999999999999E-2</v>
      </c>
      <c r="Q9" s="22">
        <f t="shared" ref="Q9" si="2">P9*N9</f>
        <v>0.35799999999999998</v>
      </c>
      <c r="R9" s="21"/>
      <c r="S9" s="21"/>
    </row>
    <row r="10" spans="1:19" ht="24" x14ac:dyDescent="0.25">
      <c r="A10" s="1"/>
      <c r="B10" s="16">
        <f>ROW(B10) - ROW($B$7)</f>
        <v>3</v>
      </c>
      <c r="C10" s="23" t="s">
        <v>9</v>
      </c>
      <c r="D10" s="14" t="s">
        <v>19</v>
      </c>
      <c r="E10" s="14" t="s">
        <v>36</v>
      </c>
      <c r="F10" s="14" t="s">
        <v>50</v>
      </c>
      <c r="G10" s="14" t="s">
        <v>65</v>
      </c>
      <c r="H10" s="14" t="s">
        <v>77</v>
      </c>
      <c r="I10" s="14"/>
      <c r="J10" s="14" t="s">
        <v>119</v>
      </c>
      <c r="K10" s="14" t="s">
        <v>65</v>
      </c>
      <c r="L10" s="14">
        <v>2</v>
      </c>
      <c r="M10" s="14">
        <f>L10*5</f>
        <v>10</v>
      </c>
      <c r="N10" s="14">
        <v>20</v>
      </c>
      <c r="O10" s="43" t="s">
        <v>118</v>
      </c>
      <c r="P10" s="15">
        <v>1.9900000000000001E-2</v>
      </c>
      <c r="Q10" s="15">
        <f>P10*N10</f>
        <v>0.39800000000000002</v>
      </c>
      <c r="R10" s="14"/>
      <c r="S10" s="20"/>
    </row>
    <row r="11" spans="1:19" ht="24" x14ac:dyDescent="0.25">
      <c r="A11" s="1"/>
      <c r="B11" s="17">
        <f t="shared" si="0"/>
        <v>4</v>
      </c>
      <c r="C11" s="24" t="s">
        <v>10</v>
      </c>
      <c r="D11" s="21" t="s">
        <v>20</v>
      </c>
      <c r="E11" s="21" t="s">
        <v>37</v>
      </c>
      <c r="F11" s="21" t="s">
        <v>51</v>
      </c>
      <c r="G11" s="21" t="s">
        <v>66</v>
      </c>
      <c r="H11" s="21" t="s">
        <v>77</v>
      </c>
      <c r="I11" s="21"/>
      <c r="J11" s="21" t="s">
        <v>90</v>
      </c>
      <c r="K11" s="21" t="s">
        <v>66</v>
      </c>
      <c r="L11" s="21">
        <v>1</v>
      </c>
      <c r="M11" s="21">
        <f t="shared" ref="M11" si="3">L11*5</f>
        <v>5</v>
      </c>
      <c r="N11" s="21">
        <v>100</v>
      </c>
      <c r="O11" s="44" t="s">
        <v>118</v>
      </c>
      <c r="P11" s="22">
        <v>7.0000000000000001E-3</v>
      </c>
      <c r="Q11" s="22">
        <f t="shared" ref="Q11" si="4">P11*N11</f>
        <v>0.70000000000000007</v>
      </c>
      <c r="R11" s="21"/>
      <c r="S11" s="21"/>
    </row>
    <row r="12" spans="1:19" ht="24" x14ac:dyDescent="0.25">
      <c r="A12" s="1"/>
      <c r="B12" s="16">
        <f>ROW(B12) - ROW($B$7)</f>
        <v>5</v>
      </c>
      <c r="C12" s="23" t="s">
        <v>10</v>
      </c>
      <c r="D12" s="14" t="s">
        <v>21</v>
      </c>
      <c r="E12" s="14" t="s">
        <v>38</v>
      </c>
      <c r="F12" s="14" t="s">
        <v>52</v>
      </c>
      <c r="G12" s="14" t="s">
        <v>67</v>
      </c>
      <c r="H12" s="14" t="s">
        <v>78</v>
      </c>
      <c r="I12" s="14"/>
      <c r="J12" s="14" t="s">
        <v>91</v>
      </c>
      <c r="K12" s="14" t="s">
        <v>67</v>
      </c>
      <c r="L12" s="14">
        <v>3</v>
      </c>
      <c r="M12" s="14">
        <f>L12*5</f>
        <v>15</v>
      </c>
      <c r="N12" s="14">
        <v>100</v>
      </c>
      <c r="O12" s="43" t="s">
        <v>118</v>
      </c>
      <c r="P12" s="15">
        <v>5.4000000000000003E-3</v>
      </c>
      <c r="Q12" s="15">
        <f>P12*N12</f>
        <v>0.54</v>
      </c>
      <c r="R12" s="14"/>
      <c r="S12" s="20"/>
    </row>
    <row r="13" spans="1:19" ht="48" x14ac:dyDescent="0.25">
      <c r="A13" s="1"/>
      <c r="B13" s="17">
        <f t="shared" si="0"/>
        <v>6</v>
      </c>
      <c r="C13" s="24" t="s">
        <v>11</v>
      </c>
      <c r="D13" s="21" t="s">
        <v>22</v>
      </c>
      <c r="E13" s="21" t="s">
        <v>39</v>
      </c>
      <c r="F13" s="21" t="s">
        <v>53</v>
      </c>
      <c r="G13" s="21" t="s">
        <v>53</v>
      </c>
      <c r="H13" s="21" t="s">
        <v>79</v>
      </c>
      <c r="I13" s="21"/>
      <c r="J13" s="21" t="s">
        <v>92</v>
      </c>
      <c r="K13" s="21" t="s">
        <v>53</v>
      </c>
      <c r="L13" s="21">
        <v>2</v>
      </c>
      <c r="M13" s="21">
        <f t="shared" ref="M13" si="5">L13*5</f>
        <v>10</v>
      </c>
      <c r="N13" s="21">
        <v>10</v>
      </c>
      <c r="O13" s="44" t="s">
        <v>118</v>
      </c>
      <c r="P13" s="22">
        <v>0.27250000000000002</v>
      </c>
      <c r="Q13" s="22">
        <f t="shared" ref="Q13" si="6">P13*N13</f>
        <v>2.7250000000000001</v>
      </c>
      <c r="R13" s="21"/>
      <c r="S13" s="21"/>
    </row>
    <row r="14" spans="1:19" ht="48" x14ac:dyDescent="0.25">
      <c r="A14" s="1"/>
      <c r="B14" s="16">
        <f>ROW(B14) - ROW($B$7)</f>
        <v>7</v>
      </c>
      <c r="C14" s="23" t="s">
        <v>11</v>
      </c>
      <c r="D14" s="14" t="s">
        <v>23</v>
      </c>
      <c r="E14" s="14" t="s">
        <v>40</v>
      </c>
      <c r="F14" s="14" t="s">
        <v>54</v>
      </c>
      <c r="G14" s="14" t="s">
        <v>54</v>
      </c>
      <c r="H14" s="14" t="s">
        <v>79</v>
      </c>
      <c r="I14" s="14"/>
      <c r="J14" s="14" t="s">
        <v>93</v>
      </c>
      <c r="K14" s="14" t="s">
        <v>54</v>
      </c>
      <c r="L14" s="14">
        <v>1</v>
      </c>
      <c r="M14" s="14">
        <f>L14*5</f>
        <v>5</v>
      </c>
      <c r="N14" s="14">
        <v>5</v>
      </c>
      <c r="O14" s="43" t="s">
        <v>118</v>
      </c>
      <c r="P14" s="15">
        <v>0.18240000000000001</v>
      </c>
      <c r="Q14" s="15">
        <f>P14*N14</f>
        <v>0.91200000000000003</v>
      </c>
      <c r="R14" s="14"/>
      <c r="S14" s="20"/>
    </row>
    <row r="15" spans="1:19" ht="48" x14ac:dyDescent="0.25">
      <c r="A15" s="1"/>
      <c r="B15" s="17">
        <f t="shared" si="0"/>
        <v>8</v>
      </c>
      <c r="C15" s="24" t="s">
        <v>12</v>
      </c>
      <c r="D15" s="21" t="s">
        <v>24</v>
      </c>
      <c r="E15" s="21" t="s">
        <v>41</v>
      </c>
      <c r="F15" s="21" t="s">
        <v>55</v>
      </c>
      <c r="G15" s="21" t="s">
        <v>55</v>
      </c>
      <c r="H15" s="21" t="s">
        <v>80</v>
      </c>
      <c r="I15" s="21"/>
      <c r="J15" s="21" t="s">
        <v>94</v>
      </c>
      <c r="K15" s="21" t="s">
        <v>55</v>
      </c>
      <c r="L15" s="21">
        <v>1</v>
      </c>
      <c r="M15" s="21">
        <f t="shared" ref="M15" si="7">L15*5</f>
        <v>5</v>
      </c>
      <c r="N15" s="21">
        <v>5</v>
      </c>
      <c r="O15" s="44" t="s">
        <v>118</v>
      </c>
      <c r="P15" s="22">
        <v>7.22E-2</v>
      </c>
      <c r="Q15" s="22">
        <f t="shared" ref="Q15" si="8">P15*N15</f>
        <v>0.36099999999999999</v>
      </c>
      <c r="R15" s="21"/>
      <c r="S15" s="21"/>
    </row>
    <row r="16" spans="1:19" ht="24" x14ac:dyDescent="0.25">
      <c r="A16" s="1"/>
      <c r="B16" s="16">
        <f>ROW(B16) - ROW($B$7)</f>
        <v>9</v>
      </c>
      <c r="C16" s="23" t="s">
        <v>13</v>
      </c>
      <c r="D16" s="14" t="s">
        <v>25</v>
      </c>
      <c r="E16" s="14" t="s">
        <v>42</v>
      </c>
      <c r="F16" s="14" t="s">
        <v>56</v>
      </c>
      <c r="G16" s="14" t="s">
        <v>68</v>
      </c>
      <c r="H16" s="14" t="s">
        <v>81</v>
      </c>
      <c r="I16" s="14"/>
      <c r="J16" s="14" t="s">
        <v>95</v>
      </c>
      <c r="K16" s="14" t="s">
        <v>68</v>
      </c>
      <c r="L16" s="14">
        <v>2</v>
      </c>
      <c r="M16" s="14">
        <f>L16*5</f>
        <v>10</v>
      </c>
      <c r="N16" s="14">
        <v>50</v>
      </c>
      <c r="O16" s="43" t="s">
        <v>118</v>
      </c>
      <c r="P16" s="15">
        <v>8.3999999999999995E-3</v>
      </c>
      <c r="Q16" s="15">
        <f>P16*N16</f>
        <v>0.42</v>
      </c>
      <c r="R16" s="14"/>
      <c r="S16" s="20"/>
    </row>
    <row r="17" spans="1:19" ht="36" x14ac:dyDescent="0.25">
      <c r="A17" s="1"/>
      <c r="B17" s="17">
        <f t="shared" si="0"/>
        <v>10</v>
      </c>
      <c r="C17" s="24" t="s">
        <v>14</v>
      </c>
      <c r="D17" s="21" t="s">
        <v>26</v>
      </c>
      <c r="E17" s="21" t="s">
        <v>43</v>
      </c>
      <c r="F17" s="21" t="s">
        <v>57</v>
      </c>
      <c r="G17" s="21" t="s">
        <v>69</v>
      </c>
      <c r="H17" s="21" t="s">
        <v>82</v>
      </c>
      <c r="I17" s="21"/>
      <c r="J17" s="21" t="s">
        <v>96</v>
      </c>
      <c r="K17" s="21" t="s">
        <v>104</v>
      </c>
      <c r="L17" s="21">
        <v>1</v>
      </c>
      <c r="M17" s="21">
        <f t="shared" ref="M17" si="9">L17*5</f>
        <v>5</v>
      </c>
      <c r="N17" s="21">
        <v>100</v>
      </c>
      <c r="O17" s="44" t="s">
        <v>118</v>
      </c>
      <c r="P17" s="22">
        <v>1.6000000000000001E-3</v>
      </c>
      <c r="Q17" s="22">
        <f t="shared" ref="Q17" si="10">P17*N17</f>
        <v>0.16</v>
      </c>
      <c r="R17" s="21"/>
      <c r="S17" s="21"/>
    </row>
    <row r="18" spans="1:19" ht="36" x14ac:dyDescent="0.25">
      <c r="A18" s="1"/>
      <c r="B18" s="16">
        <f>ROW(B18) - ROW($B$7)</f>
        <v>11</v>
      </c>
      <c r="C18" s="23" t="s">
        <v>14</v>
      </c>
      <c r="D18" s="14" t="s">
        <v>27</v>
      </c>
      <c r="E18" s="14" t="s">
        <v>44</v>
      </c>
      <c r="F18" s="14" t="s">
        <v>58</v>
      </c>
      <c r="G18" s="14" t="s">
        <v>70</v>
      </c>
      <c r="H18" s="14" t="s">
        <v>83</v>
      </c>
      <c r="I18" s="14"/>
      <c r="J18" s="14" t="s">
        <v>97</v>
      </c>
      <c r="K18" s="14" t="s">
        <v>105</v>
      </c>
      <c r="L18" s="14">
        <v>2</v>
      </c>
      <c r="M18" s="14">
        <f>L18*5</f>
        <v>10</v>
      </c>
      <c r="N18" s="14">
        <v>100</v>
      </c>
      <c r="O18" s="43" t="s">
        <v>118</v>
      </c>
      <c r="P18" s="15">
        <v>2.8E-3</v>
      </c>
      <c r="Q18" s="15">
        <f>P18*N18</f>
        <v>0.27999999999999997</v>
      </c>
      <c r="R18" s="14"/>
      <c r="S18" s="20"/>
    </row>
    <row r="19" spans="1:19" x14ac:dyDescent="0.25">
      <c r="A19" s="1"/>
      <c r="B19" s="17">
        <f t="shared" si="0"/>
        <v>12</v>
      </c>
      <c r="C19" s="24" t="s">
        <v>14</v>
      </c>
      <c r="D19" s="21" t="s">
        <v>28</v>
      </c>
      <c r="E19" s="21" t="s">
        <v>45</v>
      </c>
      <c r="F19" s="21" t="s">
        <v>59</v>
      </c>
      <c r="G19" s="21" t="s">
        <v>71</v>
      </c>
      <c r="H19" s="21" t="s">
        <v>84</v>
      </c>
      <c r="I19" s="21"/>
      <c r="J19" s="21" t="s">
        <v>98</v>
      </c>
      <c r="K19" s="21" t="s">
        <v>106</v>
      </c>
      <c r="L19" s="21">
        <v>2</v>
      </c>
      <c r="M19" s="21">
        <f t="shared" ref="M19" si="11">L19*5</f>
        <v>10</v>
      </c>
      <c r="N19" s="21">
        <v>20</v>
      </c>
      <c r="O19" s="44" t="s">
        <v>118</v>
      </c>
      <c r="P19" s="22">
        <v>1.9099999999999999E-2</v>
      </c>
      <c r="Q19" s="22">
        <f t="shared" ref="Q19" si="12">P19*N19</f>
        <v>0.38200000000000001</v>
      </c>
      <c r="R19" s="21"/>
      <c r="S19" s="21"/>
    </row>
    <row r="20" spans="1:19" x14ac:dyDescent="0.25">
      <c r="A20" s="1"/>
      <c r="B20" s="16">
        <f>ROW(B20) - ROW($B$7)</f>
        <v>13</v>
      </c>
      <c r="C20" s="23" t="s">
        <v>14</v>
      </c>
      <c r="D20" s="14" t="s">
        <v>29</v>
      </c>
      <c r="E20" s="14" t="s">
        <v>46</v>
      </c>
      <c r="F20" s="14" t="s">
        <v>59</v>
      </c>
      <c r="G20" s="14" t="s">
        <v>72</v>
      </c>
      <c r="H20" s="14" t="s">
        <v>84</v>
      </c>
      <c r="I20" s="14"/>
      <c r="J20" s="14" t="s">
        <v>99</v>
      </c>
      <c r="K20" s="14" t="s">
        <v>107</v>
      </c>
      <c r="L20" s="14">
        <v>2</v>
      </c>
      <c r="M20" s="14">
        <f>L20*5</f>
        <v>10</v>
      </c>
      <c r="N20" s="14">
        <v>20</v>
      </c>
      <c r="O20" s="43" t="s">
        <v>118</v>
      </c>
      <c r="P20" s="15">
        <v>2.23E-2</v>
      </c>
      <c r="Q20" s="15">
        <f>P20*N20</f>
        <v>0.44600000000000001</v>
      </c>
      <c r="R20" s="14"/>
      <c r="S20" s="20"/>
    </row>
    <row r="21" spans="1:19" x14ac:dyDescent="0.25">
      <c r="A21" s="1"/>
      <c r="B21" s="17">
        <f t="shared" si="0"/>
        <v>14</v>
      </c>
      <c r="C21" s="24"/>
      <c r="D21" s="21" t="s">
        <v>30</v>
      </c>
      <c r="E21" s="21"/>
      <c r="F21" s="21" t="s">
        <v>60</v>
      </c>
      <c r="G21" s="21"/>
      <c r="H21" s="21" t="s">
        <v>85</v>
      </c>
      <c r="I21" s="21"/>
      <c r="J21" s="21" t="s">
        <v>120</v>
      </c>
      <c r="K21" s="21" t="s">
        <v>108</v>
      </c>
      <c r="L21" s="21">
        <v>1</v>
      </c>
      <c r="M21" s="21">
        <f t="shared" ref="M21" si="13">L21*5</f>
        <v>5</v>
      </c>
      <c r="N21" s="21">
        <v>5</v>
      </c>
      <c r="O21" s="44" t="s">
        <v>118</v>
      </c>
      <c r="P21" s="22">
        <v>0.79359999999999997</v>
      </c>
      <c r="Q21" s="22">
        <f t="shared" ref="Q21" si="14">P21*N21</f>
        <v>3.968</v>
      </c>
      <c r="R21" s="21"/>
      <c r="S21" s="21"/>
    </row>
    <row r="22" spans="1:19" x14ac:dyDescent="0.25">
      <c r="A22" s="1"/>
      <c r="B22" s="16">
        <f>ROW(B22) - ROW($B$7)</f>
        <v>15</v>
      </c>
      <c r="C22" s="23"/>
      <c r="D22" s="14" t="s">
        <v>31</v>
      </c>
      <c r="E22" s="14"/>
      <c r="F22" s="14"/>
      <c r="G22" s="14"/>
      <c r="H22" s="14"/>
      <c r="I22" s="14"/>
      <c r="J22" s="14"/>
      <c r="K22" s="14" t="s">
        <v>109</v>
      </c>
      <c r="L22" s="14">
        <v>1</v>
      </c>
      <c r="M22" s="14">
        <f>L22*5</f>
        <v>5</v>
      </c>
      <c r="N22" s="14">
        <v>5</v>
      </c>
      <c r="O22" s="43" t="s">
        <v>121</v>
      </c>
      <c r="P22" s="15">
        <v>2.17</v>
      </c>
      <c r="Q22" s="15">
        <f>P22*N22</f>
        <v>10.85</v>
      </c>
      <c r="R22" s="14"/>
      <c r="S22" s="20"/>
    </row>
    <row r="23" spans="1:19" ht="36.75" thickBot="1" x14ac:dyDescent="0.3">
      <c r="A23" s="1"/>
      <c r="B23" s="17">
        <f t="shared" si="0"/>
        <v>16</v>
      </c>
      <c r="C23" s="24" t="s">
        <v>15</v>
      </c>
      <c r="D23" s="21" t="s">
        <v>32</v>
      </c>
      <c r="E23" s="21" t="s">
        <v>47</v>
      </c>
      <c r="F23" s="21" t="s">
        <v>61</v>
      </c>
      <c r="G23" s="21" t="s">
        <v>73</v>
      </c>
      <c r="H23" s="21" t="s">
        <v>86</v>
      </c>
      <c r="I23" s="21"/>
      <c r="J23" s="21" t="s">
        <v>100</v>
      </c>
      <c r="K23" s="21" t="s">
        <v>73</v>
      </c>
      <c r="L23" s="21">
        <v>2</v>
      </c>
      <c r="M23" s="21">
        <f t="shared" ref="M23" si="15">L23*5</f>
        <v>10</v>
      </c>
      <c r="N23" s="21">
        <v>10</v>
      </c>
      <c r="O23" s="44" t="s">
        <v>118</v>
      </c>
      <c r="P23" s="22">
        <v>0.12520000000000001</v>
      </c>
      <c r="Q23" s="22">
        <f t="shared" ref="Q23" si="16">P23*N23</f>
        <v>1.252</v>
      </c>
      <c r="R23" s="21"/>
      <c r="S23" s="21"/>
    </row>
    <row r="24" spans="1:19" ht="19.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7" t="s">
        <v>3</v>
      </c>
      <c r="O24" s="48"/>
      <c r="P24" s="48"/>
      <c r="Q24" s="18">
        <f>SUM(Q8:Q23)</f>
        <v>24.337999999999997</v>
      </c>
      <c r="R24" s="1"/>
      <c r="S24" s="1"/>
    </row>
    <row r="25" spans="1:19" ht="19.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7" t="s">
        <v>4</v>
      </c>
      <c r="O25" s="48"/>
      <c r="P25" s="48"/>
      <c r="Q25" s="19">
        <f>Q24/5</f>
        <v>4.8675999999999995</v>
      </c>
      <c r="R25" s="1"/>
      <c r="S25" s="1"/>
    </row>
    <row r="37" spans="13:13" x14ac:dyDescent="0.25">
      <c r="M37" s="39"/>
    </row>
  </sheetData>
  <mergeCells count="4">
    <mergeCell ref="K1:S1"/>
    <mergeCell ref="N24:P24"/>
    <mergeCell ref="N25:P25"/>
    <mergeCell ref="S2:S6"/>
  </mergeCells>
  <hyperlinks>
    <hyperlink ref="O8" r:id="rId1" xr:uid="{6D650013-789F-4C0B-ADDC-7C55A5DA5D23}"/>
    <hyperlink ref="O9" r:id="rId2" xr:uid="{803A5EA6-E42E-47D1-80ED-B97AA5D160CC}"/>
    <hyperlink ref="O10" r:id="rId3" xr:uid="{3F6931A6-178B-495F-AC7C-31E607FD5732}"/>
    <hyperlink ref="O11" r:id="rId4" xr:uid="{2C28972B-682F-4296-B3CA-94B61C49BB6D}"/>
    <hyperlink ref="O12" r:id="rId5" xr:uid="{02DC497F-25EA-4381-AF5F-C1A495CE0390}"/>
    <hyperlink ref="O13" r:id="rId6" xr:uid="{5E932BF4-E705-453F-A867-BFD030C0FF42}"/>
    <hyperlink ref="O14" r:id="rId7" xr:uid="{F1E70660-4E7A-4548-95B0-404EF9B0D0EB}"/>
    <hyperlink ref="O15" r:id="rId8" xr:uid="{E829737E-BDA5-4B52-9CD1-EDDC45136E77}"/>
    <hyperlink ref="O16" r:id="rId9" xr:uid="{3BACA344-F7BA-4727-87F2-DF630A5C6AD1}"/>
    <hyperlink ref="O17" r:id="rId10" xr:uid="{212A1A2F-95BC-4030-8C15-B0DA89FF402E}"/>
    <hyperlink ref="O18" r:id="rId11" xr:uid="{A37F0863-8AF0-44B1-A233-98760A98931E}"/>
    <hyperlink ref="O19" r:id="rId12" xr:uid="{85AD859D-16D2-492F-8416-53CAAD79927E}"/>
    <hyperlink ref="O20" r:id="rId13" xr:uid="{94DED397-8D73-435B-8828-4B2FA20B3FE0}"/>
    <hyperlink ref="O21" r:id="rId14" xr:uid="{48E6284F-A285-45F1-A19C-97C19936A71A}"/>
    <hyperlink ref="O22" r:id="rId15" xr:uid="{F6F2FB39-4B50-4FCC-A9F4-CAF0B07249C8}"/>
    <hyperlink ref="O23" r:id="rId16" xr:uid="{2A2D3EEB-8237-4696-BE03-A78C4B173D5B}"/>
  </hyperlinks>
  <pageMargins left="0.7" right="0.7" top="0.75" bottom="0.75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7EF8-FBCA-4898-8192-36768A31D68F}">
  <dimension ref="A1:S37"/>
  <sheetViews>
    <sheetView topLeftCell="H1" workbookViewId="0">
      <selection activeCell="M25" sqref="M25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5"/>
      <c r="L1" s="45"/>
      <c r="M1" s="45"/>
      <c r="N1" s="45"/>
      <c r="O1" s="45"/>
      <c r="P1" s="45"/>
      <c r="Q1" s="45"/>
      <c r="R1" s="45"/>
      <c r="S1" s="46"/>
    </row>
    <row r="2" spans="1:19" ht="32.25" thickBot="1" x14ac:dyDescent="0.3">
      <c r="A2" s="1"/>
      <c r="B2" s="7"/>
      <c r="C2" s="13"/>
      <c r="D2" s="4" t="s">
        <v>0</v>
      </c>
      <c r="E2" s="4"/>
      <c r="F2" s="41" t="s">
        <v>5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49"/>
    </row>
    <row r="3" spans="1:19" ht="16.5" thickBot="1" x14ac:dyDescent="0.3">
      <c r="A3" s="1"/>
      <c r="B3" s="8"/>
      <c r="C3" s="27"/>
      <c r="D3" s="40" t="s">
        <v>1</v>
      </c>
      <c r="E3" s="28"/>
      <c r="F3" s="42" t="s">
        <v>6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50"/>
    </row>
    <row r="4" spans="1:19" x14ac:dyDescent="0.25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50"/>
    </row>
    <row r="5" spans="1:19" x14ac:dyDescent="0.25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50"/>
    </row>
    <row r="6" spans="1:19" ht="15.75" thickBot="1" x14ac:dyDescent="0.3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51"/>
    </row>
    <row r="7" spans="1:19" ht="15.75" thickBot="1" x14ac:dyDescent="0.3">
      <c r="A7" s="1"/>
      <c r="B7" s="12" t="s">
        <v>2</v>
      </c>
      <c r="C7" s="12" t="s">
        <v>7</v>
      </c>
      <c r="D7" s="12" t="s">
        <v>16</v>
      </c>
      <c r="E7" s="12" t="s">
        <v>33</v>
      </c>
      <c r="F7" s="12" t="s">
        <v>48</v>
      </c>
      <c r="G7" s="12" t="s">
        <v>62</v>
      </c>
      <c r="H7" s="12" t="s">
        <v>74</v>
      </c>
      <c r="I7" s="12" t="s">
        <v>126</v>
      </c>
      <c r="J7" s="12" t="s">
        <v>87</v>
      </c>
      <c r="K7" s="12" t="s">
        <v>101</v>
      </c>
      <c r="L7" s="12" t="s">
        <v>110</v>
      </c>
      <c r="M7" s="12" t="s">
        <v>122</v>
      </c>
      <c r="N7" s="12" t="s">
        <v>123</v>
      </c>
      <c r="O7" s="12" t="s">
        <v>113</v>
      </c>
      <c r="P7" s="12" t="s">
        <v>124</v>
      </c>
      <c r="Q7" s="12" t="s">
        <v>125</v>
      </c>
      <c r="R7" s="12" t="s">
        <v>116</v>
      </c>
      <c r="S7" s="12" t="s">
        <v>117</v>
      </c>
    </row>
    <row r="8" spans="1:19" ht="36" x14ac:dyDescent="0.25">
      <c r="A8" s="1"/>
      <c r="B8" s="16">
        <f>ROW(B8) - ROW($B$7)</f>
        <v>1</v>
      </c>
      <c r="C8" s="23" t="s">
        <v>8</v>
      </c>
      <c r="D8" s="14" t="s">
        <v>17</v>
      </c>
      <c r="E8" s="14" t="s">
        <v>34</v>
      </c>
      <c r="F8" s="14"/>
      <c r="G8" s="14" t="s">
        <v>63</v>
      </c>
      <c r="H8" s="14" t="s">
        <v>75</v>
      </c>
      <c r="I8" s="14"/>
      <c r="J8" s="14" t="s">
        <v>88</v>
      </c>
      <c r="K8" s="14" t="s">
        <v>102</v>
      </c>
      <c r="L8" s="14">
        <v>1</v>
      </c>
      <c r="M8" s="14">
        <f>L8*1000</f>
        <v>1000</v>
      </c>
      <c r="N8" s="14">
        <v>1000</v>
      </c>
      <c r="O8" s="43" t="s">
        <v>118</v>
      </c>
      <c r="P8" s="15">
        <v>3.8699999999999998E-2</v>
      </c>
      <c r="Q8" s="15">
        <f>P8*N8</f>
        <v>38.699999999999996</v>
      </c>
      <c r="R8" s="14"/>
      <c r="S8" s="20"/>
    </row>
    <row r="9" spans="1:19" ht="36" x14ac:dyDescent="0.25">
      <c r="A9" s="1"/>
      <c r="B9" s="17">
        <f t="shared" ref="B9:B23" si="0">ROW(B9) - ROW($B$7)</f>
        <v>2</v>
      </c>
      <c r="C9" s="24" t="s">
        <v>8</v>
      </c>
      <c r="D9" s="21" t="s">
        <v>18</v>
      </c>
      <c r="E9" s="21" t="s">
        <v>35</v>
      </c>
      <c r="F9" s="21" t="s">
        <v>49</v>
      </c>
      <c r="G9" s="21" t="s">
        <v>64</v>
      </c>
      <c r="H9" s="21" t="s">
        <v>76</v>
      </c>
      <c r="I9" s="21"/>
      <c r="J9" s="21" t="s">
        <v>89</v>
      </c>
      <c r="K9" s="21" t="s">
        <v>103</v>
      </c>
      <c r="L9" s="21">
        <v>1</v>
      </c>
      <c r="M9" s="14">
        <f t="shared" ref="M9:M23" si="1">L9*1000</f>
        <v>1000</v>
      </c>
      <c r="N9" s="21">
        <v>1000</v>
      </c>
      <c r="O9" s="44" t="s">
        <v>118</v>
      </c>
      <c r="P9" s="22">
        <v>1.14E-2</v>
      </c>
      <c r="Q9" s="22">
        <f t="shared" ref="Q9" si="2">P9*N9</f>
        <v>11.4</v>
      </c>
      <c r="R9" s="21"/>
      <c r="S9" s="21"/>
    </row>
    <row r="10" spans="1:19" ht="24" x14ac:dyDescent="0.25">
      <c r="A10" s="1"/>
      <c r="B10" s="16">
        <f>ROW(B10) - ROW($B$7)</f>
        <v>3</v>
      </c>
      <c r="C10" s="23" t="s">
        <v>9</v>
      </c>
      <c r="D10" s="14" t="s">
        <v>19</v>
      </c>
      <c r="E10" s="14" t="s">
        <v>36</v>
      </c>
      <c r="F10" s="14" t="s">
        <v>50</v>
      </c>
      <c r="G10" s="14" t="s">
        <v>65</v>
      </c>
      <c r="H10" s="14" t="s">
        <v>77</v>
      </c>
      <c r="I10" s="14"/>
      <c r="J10" s="14" t="s">
        <v>119</v>
      </c>
      <c r="K10" s="14" t="s">
        <v>65</v>
      </c>
      <c r="L10" s="14">
        <v>2</v>
      </c>
      <c r="M10" s="14">
        <f t="shared" si="1"/>
        <v>2000</v>
      </c>
      <c r="N10" s="14">
        <v>2000</v>
      </c>
      <c r="O10" s="43" t="s">
        <v>118</v>
      </c>
      <c r="P10" s="15">
        <v>1.4200000000000001E-2</v>
      </c>
      <c r="Q10" s="15">
        <f>P10*N10</f>
        <v>28.400000000000002</v>
      </c>
      <c r="R10" s="14"/>
      <c r="S10" s="20"/>
    </row>
    <row r="11" spans="1:19" ht="24" x14ac:dyDescent="0.25">
      <c r="A11" s="1"/>
      <c r="B11" s="17">
        <f t="shared" si="0"/>
        <v>4</v>
      </c>
      <c r="C11" s="24" t="s">
        <v>10</v>
      </c>
      <c r="D11" s="21" t="s">
        <v>20</v>
      </c>
      <c r="E11" s="21" t="s">
        <v>37</v>
      </c>
      <c r="F11" s="21" t="s">
        <v>51</v>
      </c>
      <c r="G11" s="21" t="s">
        <v>66</v>
      </c>
      <c r="H11" s="21" t="s">
        <v>77</v>
      </c>
      <c r="I11" s="21"/>
      <c r="J11" s="21" t="s">
        <v>90</v>
      </c>
      <c r="K11" s="21" t="s">
        <v>66</v>
      </c>
      <c r="L11" s="21">
        <v>1</v>
      </c>
      <c r="M11" s="14">
        <f t="shared" si="1"/>
        <v>1000</v>
      </c>
      <c r="N11" s="21">
        <v>1000</v>
      </c>
      <c r="O11" s="44" t="s">
        <v>118</v>
      </c>
      <c r="P11" s="22">
        <v>5.5999999999999999E-3</v>
      </c>
      <c r="Q11" s="22">
        <f t="shared" ref="Q11" si="3">P11*N11</f>
        <v>5.6</v>
      </c>
      <c r="R11" s="21"/>
      <c r="S11" s="21"/>
    </row>
    <row r="12" spans="1:19" ht="24" x14ac:dyDescent="0.25">
      <c r="A12" s="1"/>
      <c r="B12" s="16">
        <f>ROW(B12) - ROW($B$7)</f>
        <v>5</v>
      </c>
      <c r="C12" s="23" t="s">
        <v>10</v>
      </c>
      <c r="D12" s="14" t="s">
        <v>21</v>
      </c>
      <c r="E12" s="14" t="s">
        <v>38</v>
      </c>
      <c r="F12" s="14" t="s">
        <v>52</v>
      </c>
      <c r="G12" s="14" t="s">
        <v>67</v>
      </c>
      <c r="H12" s="14" t="s">
        <v>78</v>
      </c>
      <c r="I12" s="14"/>
      <c r="J12" s="14" t="s">
        <v>91</v>
      </c>
      <c r="K12" s="14" t="s">
        <v>67</v>
      </c>
      <c r="L12" s="14">
        <v>3</v>
      </c>
      <c r="M12" s="14">
        <f t="shared" si="1"/>
        <v>3000</v>
      </c>
      <c r="N12" s="14">
        <v>3000</v>
      </c>
      <c r="O12" s="43" t="s">
        <v>118</v>
      </c>
      <c r="P12" s="15">
        <v>4.3E-3</v>
      </c>
      <c r="Q12" s="15">
        <f>P12*N12</f>
        <v>12.9</v>
      </c>
      <c r="R12" s="14"/>
      <c r="S12" s="20"/>
    </row>
    <row r="13" spans="1:19" ht="48" x14ac:dyDescent="0.25">
      <c r="A13" s="1"/>
      <c r="B13" s="17">
        <f t="shared" si="0"/>
        <v>6</v>
      </c>
      <c r="C13" s="24" t="s">
        <v>11</v>
      </c>
      <c r="D13" s="21" t="s">
        <v>22</v>
      </c>
      <c r="E13" s="21" t="s">
        <v>39</v>
      </c>
      <c r="F13" s="21" t="s">
        <v>53</v>
      </c>
      <c r="G13" s="21" t="s">
        <v>53</v>
      </c>
      <c r="H13" s="21" t="s">
        <v>79</v>
      </c>
      <c r="I13" s="21"/>
      <c r="J13" s="21" t="s">
        <v>92</v>
      </c>
      <c r="K13" s="21" t="s">
        <v>53</v>
      </c>
      <c r="L13" s="21">
        <v>2</v>
      </c>
      <c r="M13" s="14">
        <f t="shared" si="1"/>
        <v>2000</v>
      </c>
      <c r="N13" s="21">
        <v>2000</v>
      </c>
      <c r="O13" s="44" t="s">
        <v>118</v>
      </c>
      <c r="P13" s="22">
        <v>0.16339999999999999</v>
      </c>
      <c r="Q13" s="22">
        <f t="shared" ref="Q13" si="4">P13*N13</f>
        <v>326.79999999999995</v>
      </c>
      <c r="R13" s="21"/>
      <c r="S13" s="21"/>
    </row>
    <row r="14" spans="1:19" ht="48" x14ac:dyDescent="0.25">
      <c r="A14" s="1"/>
      <c r="B14" s="16">
        <f>ROW(B14) - ROW($B$7)</f>
        <v>7</v>
      </c>
      <c r="C14" s="23" t="s">
        <v>11</v>
      </c>
      <c r="D14" s="14" t="s">
        <v>23</v>
      </c>
      <c r="E14" s="14" t="s">
        <v>40</v>
      </c>
      <c r="F14" s="14" t="s">
        <v>54</v>
      </c>
      <c r="G14" s="14" t="s">
        <v>54</v>
      </c>
      <c r="H14" s="14" t="s">
        <v>79</v>
      </c>
      <c r="I14" s="14"/>
      <c r="J14" s="14" t="s">
        <v>93</v>
      </c>
      <c r="K14" s="14" t="s">
        <v>54</v>
      </c>
      <c r="L14" s="14">
        <v>1</v>
      </c>
      <c r="M14" s="14">
        <f t="shared" si="1"/>
        <v>1000</v>
      </c>
      <c r="N14" s="14">
        <v>1000</v>
      </c>
      <c r="O14" s="43" t="s">
        <v>118</v>
      </c>
      <c r="P14" s="15">
        <v>0.11119999999999999</v>
      </c>
      <c r="Q14" s="15">
        <f>P14*N14</f>
        <v>111.19999999999999</v>
      </c>
      <c r="R14" s="14"/>
      <c r="S14" s="20"/>
    </row>
    <row r="15" spans="1:19" ht="48" x14ac:dyDescent="0.25">
      <c r="A15" s="1"/>
      <c r="B15" s="17">
        <f t="shared" si="0"/>
        <v>8</v>
      </c>
      <c r="C15" s="24" t="s">
        <v>12</v>
      </c>
      <c r="D15" s="21" t="s">
        <v>24</v>
      </c>
      <c r="E15" s="21" t="s">
        <v>41</v>
      </c>
      <c r="F15" s="21" t="s">
        <v>55</v>
      </c>
      <c r="G15" s="21" t="s">
        <v>55</v>
      </c>
      <c r="H15" s="21" t="s">
        <v>80</v>
      </c>
      <c r="I15" s="21"/>
      <c r="J15" s="21" t="s">
        <v>94</v>
      </c>
      <c r="K15" s="21" t="s">
        <v>55</v>
      </c>
      <c r="L15" s="21">
        <v>1</v>
      </c>
      <c r="M15" s="14">
        <f t="shared" si="1"/>
        <v>1000</v>
      </c>
      <c r="N15" s="21">
        <v>1000</v>
      </c>
      <c r="O15" s="44" t="s">
        <v>118</v>
      </c>
      <c r="P15" s="22">
        <v>4.3499999999999997E-2</v>
      </c>
      <c r="Q15" s="22">
        <f t="shared" ref="Q15" si="5">P15*N15</f>
        <v>43.5</v>
      </c>
      <c r="R15" s="21"/>
      <c r="S15" s="21"/>
    </row>
    <row r="16" spans="1:19" ht="24" x14ac:dyDescent="0.25">
      <c r="A16" s="1"/>
      <c r="B16" s="16">
        <f>ROW(B16) - ROW($B$7)</f>
        <v>9</v>
      </c>
      <c r="C16" s="23" t="s">
        <v>13</v>
      </c>
      <c r="D16" s="14" t="s">
        <v>25</v>
      </c>
      <c r="E16" s="14" t="s">
        <v>42</v>
      </c>
      <c r="F16" s="14" t="s">
        <v>56</v>
      </c>
      <c r="G16" s="14" t="s">
        <v>68</v>
      </c>
      <c r="H16" s="14" t="s">
        <v>81</v>
      </c>
      <c r="I16" s="14"/>
      <c r="J16" s="14" t="s">
        <v>95</v>
      </c>
      <c r="K16" s="14" t="s">
        <v>68</v>
      </c>
      <c r="L16" s="14">
        <v>2</v>
      </c>
      <c r="M16" s="14">
        <f t="shared" si="1"/>
        <v>2000</v>
      </c>
      <c r="N16" s="14">
        <v>2000</v>
      </c>
      <c r="O16" s="43" t="s">
        <v>118</v>
      </c>
      <c r="P16" s="15">
        <v>6.7999999999999996E-3</v>
      </c>
      <c r="Q16" s="15">
        <f>P16*N16</f>
        <v>13.6</v>
      </c>
      <c r="R16" s="14"/>
      <c r="S16" s="20"/>
    </row>
    <row r="17" spans="1:19" ht="36" x14ac:dyDescent="0.25">
      <c r="A17" s="1"/>
      <c r="B17" s="17">
        <f t="shared" si="0"/>
        <v>10</v>
      </c>
      <c r="C17" s="24" t="s">
        <v>14</v>
      </c>
      <c r="D17" s="21" t="s">
        <v>26</v>
      </c>
      <c r="E17" s="21" t="s">
        <v>43</v>
      </c>
      <c r="F17" s="21" t="s">
        <v>57</v>
      </c>
      <c r="G17" s="21" t="s">
        <v>69</v>
      </c>
      <c r="H17" s="21" t="s">
        <v>82</v>
      </c>
      <c r="I17" s="21"/>
      <c r="J17" s="21" t="s">
        <v>96</v>
      </c>
      <c r="K17" s="21" t="s">
        <v>104</v>
      </c>
      <c r="L17" s="21">
        <v>1</v>
      </c>
      <c r="M17" s="14">
        <f t="shared" si="1"/>
        <v>1000</v>
      </c>
      <c r="N17" s="21">
        <v>1000</v>
      </c>
      <c r="O17" s="44" t="s">
        <v>118</v>
      </c>
      <c r="P17" s="22">
        <v>1.2999999999999999E-3</v>
      </c>
      <c r="Q17" s="22">
        <f t="shared" ref="Q17" si="6">P17*N17</f>
        <v>1.3</v>
      </c>
      <c r="R17" s="21"/>
      <c r="S17" s="21"/>
    </row>
    <row r="18" spans="1:19" ht="36" x14ac:dyDescent="0.25">
      <c r="A18" s="1"/>
      <c r="B18" s="16">
        <f>ROW(B18) - ROW($B$7)</f>
        <v>11</v>
      </c>
      <c r="C18" s="23" t="s">
        <v>14</v>
      </c>
      <c r="D18" s="14" t="s">
        <v>27</v>
      </c>
      <c r="E18" s="14" t="s">
        <v>44</v>
      </c>
      <c r="F18" s="14" t="s">
        <v>58</v>
      </c>
      <c r="G18" s="14" t="s">
        <v>70</v>
      </c>
      <c r="H18" s="14" t="s">
        <v>83</v>
      </c>
      <c r="I18" s="14"/>
      <c r="J18" s="14" t="s">
        <v>97</v>
      </c>
      <c r="K18" s="14" t="s">
        <v>105</v>
      </c>
      <c r="L18" s="14">
        <v>2</v>
      </c>
      <c r="M18" s="14">
        <f t="shared" si="1"/>
        <v>2000</v>
      </c>
      <c r="N18" s="14">
        <v>2000</v>
      </c>
      <c r="O18" s="43" t="s">
        <v>118</v>
      </c>
      <c r="P18" s="15">
        <v>2.2000000000000001E-3</v>
      </c>
      <c r="Q18" s="15">
        <f>P18*N18</f>
        <v>4.4000000000000004</v>
      </c>
      <c r="R18" s="14"/>
      <c r="S18" s="20"/>
    </row>
    <row r="19" spans="1:19" x14ac:dyDescent="0.25">
      <c r="A19" s="1"/>
      <c r="B19" s="17">
        <f t="shared" si="0"/>
        <v>12</v>
      </c>
      <c r="C19" s="24" t="s">
        <v>14</v>
      </c>
      <c r="D19" s="21" t="s">
        <v>28</v>
      </c>
      <c r="E19" s="21" t="s">
        <v>45</v>
      </c>
      <c r="F19" s="21" t="s">
        <v>59</v>
      </c>
      <c r="G19" s="21" t="s">
        <v>71</v>
      </c>
      <c r="H19" s="21" t="s">
        <v>84</v>
      </c>
      <c r="I19" s="21"/>
      <c r="J19" s="21" t="s">
        <v>98</v>
      </c>
      <c r="K19" s="21" t="s">
        <v>106</v>
      </c>
      <c r="L19" s="21">
        <v>2</v>
      </c>
      <c r="M19" s="14">
        <f t="shared" si="1"/>
        <v>2000</v>
      </c>
      <c r="N19" s="21">
        <v>2000</v>
      </c>
      <c r="O19" s="44" t="s">
        <v>118</v>
      </c>
      <c r="P19" s="22">
        <v>1.34E-2</v>
      </c>
      <c r="Q19" s="22">
        <f t="shared" ref="Q19" si="7">P19*N19</f>
        <v>26.8</v>
      </c>
      <c r="R19" s="21"/>
      <c r="S19" s="21"/>
    </row>
    <row r="20" spans="1:19" x14ac:dyDescent="0.25">
      <c r="A20" s="1"/>
      <c r="B20" s="16">
        <f>ROW(B20) - ROW($B$7)</f>
        <v>13</v>
      </c>
      <c r="C20" s="23" t="s">
        <v>14</v>
      </c>
      <c r="D20" s="14" t="s">
        <v>29</v>
      </c>
      <c r="E20" s="14" t="s">
        <v>46</v>
      </c>
      <c r="F20" s="14" t="s">
        <v>59</v>
      </c>
      <c r="G20" s="14" t="s">
        <v>72</v>
      </c>
      <c r="H20" s="14" t="s">
        <v>84</v>
      </c>
      <c r="I20" s="14"/>
      <c r="J20" s="14" t="s">
        <v>99</v>
      </c>
      <c r="K20" s="14" t="s">
        <v>107</v>
      </c>
      <c r="L20" s="14">
        <v>2</v>
      </c>
      <c r="M20" s="14">
        <f t="shared" si="1"/>
        <v>2000</v>
      </c>
      <c r="N20" s="14">
        <v>2000</v>
      </c>
      <c r="O20" s="43" t="s">
        <v>118</v>
      </c>
      <c r="P20" s="15">
        <v>1.61E-2</v>
      </c>
      <c r="Q20" s="15">
        <f>P20*N20</f>
        <v>32.200000000000003</v>
      </c>
      <c r="R20" s="14"/>
      <c r="S20" s="20"/>
    </row>
    <row r="21" spans="1:19" x14ac:dyDescent="0.25">
      <c r="A21" s="1"/>
      <c r="B21" s="17">
        <f t="shared" si="0"/>
        <v>14</v>
      </c>
      <c r="C21" s="24"/>
      <c r="D21" s="21" t="s">
        <v>30</v>
      </c>
      <c r="E21" s="21"/>
      <c r="F21" s="21" t="s">
        <v>60</v>
      </c>
      <c r="G21" s="21"/>
      <c r="H21" s="21" t="s">
        <v>85</v>
      </c>
      <c r="I21" s="21"/>
      <c r="J21" s="21" t="s">
        <v>120</v>
      </c>
      <c r="K21" s="21" t="s">
        <v>108</v>
      </c>
      <c r="L21" s="21">
        <v>1</v>
      </c>
      <c r="M21" s="14">
        <f t="shared" si="1"/>
        <v>1000</v>
      </c>
      <c r="N21" s="21">
        <v>1000</v>
      </c>
      <c r="O21" s="44" t="s">
        <v>118</v>
      </c>
      <c r="P21" s="22">
        <v>0.4224</v>
      </c>
      <c r="Q21" s="22">
        <f t="shared" ref="Q21" si="8">P21*N21</f>
        <v>422.4</v>
      </c>
      <c r="R21" s="21"/>
      <c r="S21" s="21"/>
    </row>
    <row r="22" spans="1:19" x14ac:dyDescent="0.25">
      <c r="A22" s="1"/>
      <c r="B22" s="16">
        <f>ROW(B22) - ROW($B$7)</f>
        <v>15</v>
      </c>
      <c r="C22" s="23"/>
      <c r="D22" s="14" t="s">
        <v>31</v>
      </c>
      <c r="E22" s="14"/>
      <c r="F22" s="14"/>
      <c r="G22" s="14"/>
      <c r="H22" s="14"/>
      <c r="I22" s="14"/>
      <c r="J22" s="14"/>
      <c r="K22" s="14" t="s">
        <v>109</v>
      </c>
      <c r="L22" s="14">
        <v>1</v>
      </c>
      <c r="M22" s="14">
        <f t="shared" si="1"/>
        <v>1000</v>
      </c>
      <c r="N22" s="14">
        <v>1000</v>
      </c>
      <c r="O22" s="43" t="s">
        <v>121</v>
      </c>
      <c r="P22" s="15">
        <v>1.46</v>
      </c>
      <c r="Q22" s="15">
        <f>P22*N22</f>
        <v>1460</v>
      </c>
      <c r="R22" s="14"/>
      <c r="S22" s="20"/>
    </row>
    <row r="23" spans="1:19" ht="36.75" thickBot="1" x14ac:dyDescent="0.3">
      <c r="A23" s="1"/>
      <c r="B23" s="17">
        <f t="shared" si="0"/>
        <v>16</v>
      </c>
      <c r="C23" s="24" t="s">
        <v>15</v>
      </c>
      <c r="D23" s="21" t="s">
        <v>32</v>
      </c>
      <c r="E23" s="21" t="s">
        <v>47</v>
      </c>
      <c r="F23" s="21" t="s">
        <v>61</v>
      </c>
      <c r="G23" s="21" t="s">
        <v>73</v>
      </c>
      <c r="H23" s="21" t="s">
        <v>86</v>
      </c>
      <c r="I23" s="21"/>
      <c r="J23" s="21" t="s">
        <v>100</v>
      </c>
      <c r="K23" s="21" t="s">
        <v>73</v>
      </c>
      <c r="L23" s="21">
        <v>2</v>
      </c>
      <c r="M23" s="14">
        <f t="shared" si="1"/>
        <v>2000</v>
      </c>
      <c r="N23" s="21">
        <v>2000</v>
      </c>
      <c r="O23" s="44" t="s">
        <v>118</v>
      </c>
      <c r="P23" s="22">
        <v>7.5200000000000003E-2</v>
      </c>
      <c r="Q23" s="22">
        <f t="shared" ref="Q23" si="9">P23*N23</f>
        <v>150.4</v>
      </c>
      <c r="R23" s="21"/>
      <c r="S23" s="21"/>
    </row>
    <row r="24" spans="1:19" ht="19.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7" t="s">
        <v>3</v>
      </c>
      <c r="O24" s="48"/>
      <c r="P24" s="48"/>
      <c r="Q24" s="18">
        <f>SUM(Q8:Q23)</f>
        <v>2689.6</v>
      </c>
      <c r="R24" s="1"/>
      <c r="S24" s="1"/>
    </row>
    <row r="25" spans="1:19" ht="19.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7" t="s">
        <v>4</v>
      </c>
      <c r="O25" s="48"/>
      <c r="P25" s="48"/>
      <c r="Q25" s="19">
        <f>Q24/1000</f>
        <v>2.6896</v>
      </c>
      <c r="R25" s="1"/>
      <c r="S25" s="1"/>
    </row>
    <row r="37" spans="13:13" x14ac:dyDescent="0.25">
      <c r="M37" s="39"/>
    </row>
  </sheetData>
  <mergeCells count="4">
    <mergeCell ref="K1:S1"/>
    <mergeCell ref="S2:S6"/>
    <mergeCell ref="N24:P24"/>
    <mergeCell ref="N25:P25"/>
  </mergeCells>
  <hyperlinks>
    <hyperlink ref="O8" r:id="rId1" xr:uid="{3DB3E357-064E-49D4-B2CC-5A90A823E632}"/>
    <hyperlink ref="O9" r:id="rId2" xr:uid="{F51E3481-B027-4695-91A6-6A151754B808}"/>
    <hyperlink ref="O10" r:id="rId3" xr:uid="{67AC2F2C-1D52-4FE9-8143-56F1D4020F6E}"/>
    <hyperlink ref="O11" r:id="rId4" xr:uid="{6255DF0F-144F-42F2-93A4-BE3575D18AD9}"/>
    <hyperlink ref="O12" r:id="rId5" xr:uid="{A97333D3-89F4-4BEE-8C52-47B3AB3A8FC2}"/>
    <hyperlink ref="O13" r:id="rId6" xr:uid="{FB81328C-4204-4E32-A09D-7F68DFEC8370}"/>
    <hyperlink ref="O14" r:id="rId7" xr:uid="{B399A96C-F8D6-4CA2-AF71-DB6A397BFC6E}"/>
    <hyperlink ref="O15" r:id="rId8" xr:uid="{6EF0DA6A-75AC-4506-B8F6-33D62D30EAA4}"/>
    <hyperlink ref="O16" r:id="rId9" xr:uid="{DA3853C3-E7CD-41E7-912B-9C232CF70F3D}"/>
    <hyperlink ref="O17" r:id="rId10" xr:uid="{26B9EEBA-6AB6-449A-973C-D9F3653E2EA1}"/>
    <hyperlink ref="O18" r:id="rId11" xr:uid="{97F75AEA-70CF-49C7-A150-1DF4B18EF496}"/>
    <hyperlink ref="O19" r:id="rId12" xr:uid="{F2301614-1D66-4827-9D3D-4C8C4BBB185A}"/>
    <hyperlink ref="O20" r:id="rId13" xr:uid="{2AD1BB26-0F43-45AD-ADCD-7EB893FA2E47}"/>
    <hyperlink ref="O21" r:id="rId14" xr:uid="{99189B61-DECF-430D-8FE0-EE575C19E1D0}"/>
    <hyperlink ref="O22" r:id="rId15" xr:uid="{E550F675-6CFF-498C-B16F-7192DE294FA2}"/>
    <hyperlink ref="O23" r:id="rId16" xr:uid="{E1565B14-DA57-48A0-8D54-B71EA998B58D}"/>
  </hyperlinks>
  <pageMargins left="0.7" right="0.7" top="0.75" bottom="0.75" header="0.3" footer="0.3"/>
  <pageSetup orientation="portrait" r:id="rId17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74DA-FFCA-4A49-A1E0-C6B42D73CD41}">
  <dimension ref="A1:S37"/>
  <sheetViews>
    <sheetView tabSelected="1" topLeftCell="H7" workbookViewId="0">
      <selection activeCell="P8" sqref="P8:P23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9.7109375" bestFit="1" customWidth="1"/>
    <col min="10" max="10" width="25.7109375" bestFit="1" customWidth="1"/>
    <col min="11" max="11" width="17.85546875" bestFit="1" customWidth="1"/>
    <col min="12" max="12" width="16.7109375" bestFit="1" customWidth="1"/>
    <col min="13" max="13" width="25.28515625" bestFit="1" customWidth="1"/>
    <col min="14" max="14" width="23.28515625" bestFit="1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5"/>
      <c r="L1" s="45"/>
      <c r="M1" s="45"/>
      <c r="N1" s="45"/>
      <c r="O1" s="45"/>
      <c r="P1" s="45"/>
      <c r="Q1" s="45"/>
      <c r="R1" s="45"/>
      <c r="S1" s="46"/>
    </row>
    <row r="2" spans="1:19" ht="32.25" thickBot="1" x14ac:dyDescent="0.3">
      <c r="A2" s="1"/>
      <c r="B2" s="7"/>
      <c r="C2" s="13"/>
      <c r="D2" s="4" t="s">
        <v>0</v>
      </c>
      <c r="E2" s="4"/>
      <c r="F2" s="41" t="s">
        <v>5</v>
      </c>
      <c r="G2" s="5"/>
      <c r="H2" s="3"/>
      <c r="I2" s="32"/>
      <c r="J2" s="33"/>
      <c r="K2" s="33"/>
      <c r="L2" s="33"/>
      <c r="M2" s="33"/>
      <c r="N2" s="33"/>
      <c r="O2" s="33"/>
      <c r="P2" s="33"/>
      <c r="Q2" s="33"/>
      <c r="R2" s="33"/>
      <c r="S2" s="49"/>
    </row>
    <row r="3" spans="1:19" ht="16.5" thickBot="1" x14ac:dyDescent="0.3">
      <c r="A3" s="1"/>
      <c r="B3" s="8"/>
      <c r="C3" s="27"/>
      <c r="D3" s="40" t="s">
        <v>1</v>
      </c>
      <c r="E3" s="28"/>
      <c r="F3" s="42" t="s">
        <v>6</v>
      </c>
      <c r="G3" s="30"/>
      <c r="H3" s="31"/>
      <c r="I3" s="29"/>
      <c r="J3" s="25"/>
      <c r="K3" s="25"/>
      <c r="L3" s="25"/>
      <c r="M3" s="25"/>
      <c r="N3" s="25"/>
      <c r="O3" s="25"/>
      <c r="P3" s="25"/>
      <c r="Q3" s="25"/>
      <c r="R3" s="25"/>
      <c r="S3" s="50"/>
    </row>
    <row r="4" spans="1:19" x14ac:dyDescent="0.25">
      <c r="A4" s="1"/>
      <c r="B4" s="8"/>
      <c r="C4" s="27"/>
      <c r="D4" s="28"/>
      <c r="E4" s="28"/>
      <c r="F4" s="26"/>
      <c r="G4" s="29"/>
      <c r="H4" s="25"/>
      <c r="I4" s="29"/>
      <c r="J4" s="25"/>
      <c r="K4" s="25"/>
      <c r="L4" s="25"/>
      <c r="M4" s="25"/>
      <c r="N4" s="25"/>
      <c r="O4" s="25"/>
      <c r="P4" s="25"/>
      <c r="Q4" s="25"/>
      <c r="R4" s="25"/>
      <c r="S4" s="50"/>
    </row>
    <row r="5" spans="1:19" x14ac:dyDescent="0.25">
      <c r="A5" s="1"/>
      <c r="B5" s="9"/>
      <c r="C5" s="34"/>
      <c r="D5" s="35"/>
      <c r="E5" s="35"/>
      <c r="F5" s="26"/>
      <c r="G5" s="35"/>
      <c r="H5" s="36"/>
      <c r="I5" s="35"/>
      <c r="J5" s="36"/>
      <c r="K5" s="36"/>
      <c r="L5" s="36"/>
      <c r="M5" s="36"/>
      <c r="N5" s="36"/>
      <c r="O5" s="36"/>
      <c r="P5" s="36"/>
      <c r="Q5" s="36"/>
      <c r="R5" s="36"/>
      <c r="S5" s="50"/>
    </row>
    <row r="6" spans="1:19" ht="15.75" thickBot="1" x14ac:dyDescent="0.3">
      <c r="A6" s="1"/>
      <c r="B6" s="11"/>
      <c r="C6" s="37"/>
      <c r="D6" s="29"/>
      <c r="E6" s="29"/>
      <c r="F6" s="38"/>
      <c r="G6" s="35"/>
      <c r="H6" s="36"/>
      <c r="I6" s="35"/>
      <c r="J6" s="36"/>
      <c r="K6" s="36"/>
      <c r="L6" s="36"/>
      <c r="M6" s="36"/>
      <c r="N6" s="36"/>
      <c r="O6" s="36"/>
      <c r="P6" s="36"/>
      <c r="Q6" s="36"/>
      <c r="R6" s="36"/>
      <c r="S6" s="51"/>
    </row>
    <row r="7" spans="1:19" ht="15.75" thickBot="1" x14ac:dyDescent="0.3">
      <c r="A7" s="1"/>
      <c r="B7" s="12" t="s">
        <v>2</v>
      </c>
      <c r="C7" s="12" t="s">
        <v>7</v>
      </c>
      <c r="D7" s="12" t="s">
        <v>16</v>
      </c>
      <c r="E7" s="12" t="s">
        <v>33</v>
      </c>
      <c r="F7" s="12" t="s">
        <v>48</v>
      </c>
      <c r="G7" s="12" t="s">
        <v>62</v>
      </c>
      <c r="H7" s="12" t="s">
        <v>74</v>
      </c>
      <c r="I7" s="12" t="s">
        <v>126</v>
      </c>
      <c r="J7" s="12" t="s">
        <v>87</v>
      </c>
      <c r="K7" s="12" t="s">
        <v>101</v>
      </c>
      <c r="L7" s="12" t="s">
        <v>110</v>
      </c>
      <c r="M7" s="12" t="s">
        <v>111</v>
      </c>
      <c r="N7" s="12" t="s">
        <v>112</v>
      </c>
      <c r="O7" s="12" t="s">
        <v>113</v>
      </c>
      <c r="P7" s="12" t="s">
        <v>114</v>
      </c>
      <c r="Q7" s="12" t="s">
        <v>115</v>
      </c>
      <c r="R7" s="12" t="s">
        <v>116</v>
      </c>
      <c r="S7" s="12" t="s">
        <v>117</v>
      </c>
    </row>
    <row r="8" spans="1:19" ht="36" x14ac:dyDescent="0.25">
      <c r="A8" s="1"/>
      <c r="B8" s="16">
        <f>ROW(B8) - ROW($B$7)</f>
        <v>1</v>
      </c>
      <c r="C8" s="23" t="s">
        <v>8</v>
      </c>
      <c r="D8" s="14" t="s">
        <v>17</v>
      </c>
      <c r="E8" s="14" t="s">
        <v>34</v>
      </c>
      <c r="F8" s="14"/>
      <c r="G8" s="14" t="s">
        <v>63</v>
      </c>
      <c r="H8" s="14" t="s">
        <v>75</v>
      </c>
      <c r="I8" s="14"/>
      <c r="J8" s="14" t="s">
        <v>88</v>
      </c>
      <c r="K8" s="14" t="s">
        <v>102</v>
      </c>
      <c r="L8" s="14">
        <v>1</v>
      </c>
      <c r="M8" s="14">
        <f>L8*5</f>
        <v>5</v>
      </c>
      <c r="N8" s="14"/>
      <c r="O8" s="43"/>
      <c r="P8" s="15"/>
      <c r="Q8" s="15">
        <f>P8*N8</f>
        <v>0</v>
      </c>
      <c r="R8" s="14"/>
      <c r="S8" s="20"/>
    </row>
    <row r="9" spans="1:19" ht="36" x14ac:dyDescent="0.25">
      <c r="A9" s="1"/>
      <c r="B9" s="17">
        <f t="shared" ref="B9:B23" si="0">ROW(B9) - ROW($B$7)</f>
        <v>2</v>
      </c>
      <c r="C9" s="24" t="s">
        <v>8</v>
      </c>
      <c r="D9" s="21" t="s">
        <v>18</v>
      </c>
      <c r="E9" s="21" t="s">
        <v>35</v>
      </c>
      <c r="F9" s="21" t="s">
        <v>49</v>
      </c>
      <c r="G9" s="21" t="s">
        <v>64</v>
      </c>
      <c r="H9" s="21" t="s">
        <v>76</v>
      </c>
      <c r="I9" s="21"/>
      <c r="J9" s="21" t="s">
        <v>89</v>
      </c>
      <c r="K9" s="21" t="s">
        <v>103</v>
      </c>
      <c r="L9" s="21">
        <v>1</v>
      </c>
      <c r="M9" s="21">
        <f t="shared" ref="M9" si="1">L9*5</f>
        <v>5</v>
      </c>
      <c r="N9" s="21"/>
      <c r="O9" s="44"/>
      <c r="P9" s="22"/>
      <c r="Q9" s="22">
        <f t="shared" ref="Q9" si="2">P9*N9</f>
        <v>0</v>
      </c>
      <c r="R9" s="21"/>
      <c r="S9" s="21"/>
    </row>
    <row r="10" spans="1:19" ht="24" x14ac:dyDescent="0.25">
      <c r="A10" s="1"/>
      <c r="B10" s="16">
        <f>ROW(B10) - ROW($B$7)</f>
        <v>3</v>
      </c>
      <c r="C10" s="23" t="s">
        <v>9</v>
      </c>
      <c r="D10" s="14" t="s">
        <v>19</v>
      </c>
      <c r="E10" s="14" t="s">
        <v>36</v>
      </c>
      <c r="F10" s="14" t="s">
        <v>50</v>
      </c>
      <c r="G10" s="14" t="s">
        <v>65</v>
      </c>
      <c r="H10" s="14" t="s">
        <v>77</v>
      </c>
      <c r="I10" s="14"/>
      <c r="J10" s="14" t="s">
        <v>119</v>
      </c>
      <c r="K10" s="14" t="s">
        <v>65</v>
      </c>
      <c r="L10" s="14">
        <v>2</v>
      </c>
      <c r="M10" s="14">
        <f>L10*5</f>
        <v>10</v>
      </c>
      <c r="N10" s="14"/>
      <c r="O10" s="43"/>
      <c r="P10" s="15"/>
      <c r="Q10" s="15">
        <f>P10*N10</f>
        <v>0</v>
      </c>
      <c r="R10" s="14"/>
      <c r="S10" s="20"/>
    </row>
    <row r="11" spans="1:19" ht="24" x14ac:dyDescent="0.25">
      <c r="A11" s="1"/>
      <c r="B11" s="17">
        <f t="shared" si="0"/>
        <v>4</v>
      </c>
      <c r="C11" s="24" t="s">
        <v>10</v>
      </c>
      <c r="D11" s="21" t="s">
        <v>20</v>
      </c>
      <c r="E11" s="21" t="s">
        <v>37</v>
      </c>
      <c r="F11" s="21" t="s">
        <v>51</v>
      </c>
      <c r="G11" s="21" t="s">
        <v>66</v>
      </c>
      <c r="H11" s="21" t="s">
        <v>77</v>
      </c>
      <c r="I11" s="21"/>
      <c r="J11" s="21" t="s">
        <v>90</v>
      </c>
      <c r="K11" s="21" t="s">
        <v>66</v>
      </c>
      <c r="L11" s="21">
        <v>1</v>
      </c>
      <c r="M11" s="21">
        <f t="shared" ref="M11" si="3">L11*5</f>
        <v>5</v>
      </c>
      <c r="N11" s="21"/>
      <c r="O11" s="44"/>
      <c r="P11" s="22"/>
      <c r="Q11" s="22">
        <f t="shared" ref="Q11" si="4">P11*N11</f>
        <v>0</v>
      </c>
      <c r="R11" s="21"/>
      <c r="S11" s="21"/>
    </row>
    <row r="12" spans="1:19" ht="24" x14ac:dyDescent="0.25">
      <c r="A12" s="1"/>
      <c r="B12" s="16">
        <f>ROW(B12) - ROW($B$7)</f>
        <v>5</v>
      </c>
      <c r="C12" s="23" t="s">
        <v>10</v>
      </c>
      <c r="D12" s="14" t="s">
        <v>21</v>
      </c>
      <c r="E12" s="14" t="s">
        <v>38</v>
      </c>
      <c r="F12" s="14" t="s">
        <v>52</v>
      </c>
      <c r="G12" s="14" t="s">
        <v>67</v>
      </c>
      <c r="H12" s="14" t="s">
        <v>78</v>
      </c>
      <c r="I12" s="14"/>
      <c r="J12" s="14" t="s">
        <v>91</v>
      </c>
      <c r="K12" s="14" t="s">
        <v>67</v>
      </c>
      <c r="L12" s="14">
        <v>3</v>
      </c>
      <c r="M12" s="14">
        <f>L12*5</f>
        <v>15</v>
      </c>
      <c r="N12" s="14"/>
      <c r="O12" s="43"/>
      <c r="P12" s="15"/>
      <c r="Q12" s="15">
        <f>P12*N12</f>
        <v>0</v>
      </c>
      <c r="R12" s="14"/>
      <c r="S12" s="20"/>
    </row>
    <row r="13" spans="1:19" ht="48" x14ac:dyDescent="0.25">
      <c r="A13" s="1"/>
      <c r="B13" s="17">
        <f t="shared" si="0"/>
        <v>6</v>
      </c>
      <c r="C13" s="24" t="s">
        <v>11</v>
      </c>
      <c r="D13" s="21" t="s">
        <v>22</v>
      </c>
      <c r="E13" s="21" t="s">
        <v>39</v>
      </c>
      <c r="F13" s="21" t="s">
        <v>53</v>
      </c>
      <c r="G13" s="21" t="s">
        <v>53</v>
      </c>
      <c r="H13" s="21" t="s">
        <v>79</v>
      </c>
      <c r="I13" s="21"/>
      <c r="J13" s="21" t="s">
        <v>92</v>
      </c>
      <c r="K13" s="21" t="s">
        <v>53</v>
      </c>
      <c r="L13" s="21">
        <v>2</v>
      </c>
      <c r="M13" s="21">
        <f t="shared" ref="M13" si="5">L13*5</f>
        <v>10</v>
      </c>
      <c r="N13" s="21"/>
      <c r="O13" s="44"/>
      <c r="P13" s="22"/>
      <c r="Q13" s="22">
        <f t="shared" ref="Q13" si="6">P13*N13</f>
        <v>0</v>
      </c>
      <c r="R13" s="21"/>
      <c r="S13" s="21"/>
    </row>
    <row r="14" spans="1:19" ht="48" x14ac:dyDescent="0.25">
      <c r="A14" s="1"/>
      <c r="B14" s="16">
        <f>ROW(B14) - ROW($B$7)</f>
        <v>7</v>
      </c>
      <c r="C14" s="23" t="s">
        <v>11</v>
      </c>
      <c r="D14" s="14" t="s">
        <v>23</v>
      </c>
      <c r="E14" s="14" t="s">
        <v>40</v>
      </c>
      <c r="F14" s="14" t="s">
        <v>54</v>
      </c>
      <c r="G14" s="14" t="s">
        <v>54</v>
      </c>
      <c r="H14" s="14" t="s">
        <v>79</v>
      </c>
      <c r="I14" s="14"/>
      <c r="J14" s="14" t="s">
        <v>93</v>
      </c>
      <c r="K14" s="14" t="s">
        <v>54</v>
      </c>
      <c r="L14" s="14">
        <v>1</v>
      </c>
      <c r="M14" s="14">
        <f>L14*5</f>
        <v>5</v>
      </c>
      <c r="N14" s="14"/>
      <c r="O14" s="43"/>
      <c r="P14" s="15"/>
      <c r="Q14" s="15">
        <f>P14*N14</f>
        <v>0</v>
      </c>
      <c r="R14" s="14"/>
      <c r="S14" s="20"/>
    </row>
    <row r="15" spans="1:19" ht="48" x14ac:dyDescent="0.25">
      <c r="A15" s="1"/>
      <c r="B15" s="17">
        <f t="shared" si="0"/>
        <v>8</v>
      </c>
      <c r="C15" s="24" t="s">
        <v>12</v>
      </c>
      <c r="D15" s="21" t="s">
        <v>24</v>
      </c>
      <c r="E15" s="21" t="s">
        <v>41</v>
      </c>
      <c r="F15" s="21" t="s">
        <v>55</v>
      </c>
      <c r="G15" s="21" t="s">
        <v>55</v>
      </c>
      <c r="H15" s="21" t="s">
        <v>80</v>
      </c>
      <c r="I15" s="21"/>
      <c r="J15" s="21" t="s">
        <v>94</v>
      </c>
      <c r="K15" s="21" t="s">
        <v>55</v>
      </c>
      <c r="L15" s="21">
        <v>1</v>
      </c>
      <c r="M15" s="21">
        <f t="shared" ref="M15" si="7">L15*5</f>
        <v>5</v>
      </c>
      <c r="N15" s="21"/>
      <c r="O15" s="44"/>
      <c r="P15" s="22"/>
      <c r="Q15" s="22">
        <f t="shared" ref="Q15" si="8">P15*N15</f>
        <v>0</v>
      </c>
      <c r="R15" s="21"/>
      <c r="S15" s="21"/>
    </row>
    <row r="16" spans="1:19" ht="24" x14ac:dyDescent="0.25">
      <c r="A16" s="1"/>
      <c r="B16" s="16">
        <f>ROW(B16) - ROW($B$7)</f>
        <v>9</v>
      </c>
      <c r="C16" s="23" t="s">
        <v>13</v>
      </c>
      <c r="D16" s="14" t="s">
        <v>25</v>
      </c>
      <c r="E16" s="14" t="s">
        <v>42</v>
      </c>
      <c r="F16" s="14" t="s">
        <v>56</v>
      </c>
      <c r="G16" s="14" t="s">
        <v>68</v>
      </c>
      <c r="H16" s="14" t="s">
        <v>81</v>
      </c>
      <c r="I16" s="14"/>
      <c r="J16" s="14" t="s">
        <v>95</v>
      </c>
      <c r="K16" s="14" t="s">
        <v>68</v>
      </c>
      <c r="L16" s="14">
        <v>2</v>
      </c>
      <c r="M16" s="14">
        <f>L16*5</f>
        <v>10</v>
      </c>
      <c r="N16" s="14"/>
      <c r="O16" s="43"/>
      <c r="P16" s="15"/>
      <c r="Q16" s="15">
        <f>P16*N16</f>
        <v>0</v>
      </c>
      <c r="R16" s="14"/>
      <c r="S16" s="20"/>
    </row>
    <row r="17" spans="1:19" ht="36" x14ac:dyDescent="0.25">
      <c r="A17" s="1"/>
      <c r="B17" s="17">
        <f t="shared" si="0"/>
        <v>10</v>
      </c>
      <c r="C17" s="24" t="s">
        <v>14</v>
      </c>
      <c r="D17" s="21" t="s">
        <v>26</v>
      </c>
      <c r="E17" s="21" t="s">
        <v>43</v>
      </c>
      <c r="F17" s="21" t="s">
        <v>57</v>
      </c>
      <c r="G17" s="21" t="s">
        <v>69</v>
      </c>
      <c r="H17" s="21" t="s">
        <v>82</v>
      </c>
      <c r="I17" s="21"/>
      <c r="J17" s="21" t="s">
        <v>96</v>
      </c>
      <c r="K17" s="21" t="s">
        <v>104</v>
      </c>
      <c r="L17" s="21">
        <v>1</v>
      </c>
      <c r="M17" s="21">
        <f t="shared" ref="M17" si="9">L17*5</f>
        <v>5</v>
      </c>
      <c r="N17" s="21"/>
      <c r="O17" s="44"/>
      <c r="P17" s="22"/>
      <c r="Q17" s="22">
        <f t="shared" ref="Q17" si="10">P17*N17</f>
        <v>0</v>
      </c>
      <c r="R17" s="21"/>
      <c r="S17" s="21"/>
    </row>
    <row r="18" spans="1:19" ht="36" x14ac:dyDescent="0.25">
      <c r="A18" s="1"/>
      <c r="B18" s="16">
        <f>ROW(B18) - ROW($B$7)</f>
        <v>11</v>
      </c>
      <c r="C18" s="23" t="s">
        <v>14</v>
      </c>
      <c r="D18" s="14" t="s">
        <v>27</v>
      </c>
      <c r="E18" s="14" t="s">
        <v>44</v>
      </c>
      <c r="F18" s="14" t="s">
        <v>58</v>
      </c>
      <c r="G18" s="14" t="s">
        <v>70</v>
      </c>
      <c r="H18" s="14" t="s">
        <v>83</v>
      </c>
      <c r="I18" s="14"/>
      <c r="J18" s="14" t="s">
        <v>97</v>
      </c>
      <c r="K18" s="14" t="s">
        <v>105</v>
      </c>
      <c r="L18" s="14">
        <v>2</v>
      </c>
      <c r="M18" s="14">
        <f>L18*5</f>
        <v>10</v>
      </c>
      <c r="N18" s="14"/>
      <c r="O18" s="43"/>
      <c r="P18" s="15"/>
      <c r="Q18" s="15">
        <f>P18*N18</f>
        <v>0</v>
      </c>
      <c r="R18" s="14"/>
      <c r="S18" s="20"/>
    </row>
    <row r="19" spans="1:19" x14ac:dyDescent="0.25">
      <c r="A19" s="1"/>
      <c r="B19" s="17">
        <f t="shared" si="0"/>
        <v>12</v>
      </c>
      <c r="C19" s="24" t="s">
        <v>14</v>
      </c>
      <c r="D19" s="21" t="s">
        <v>28</v>
      </c>
      <c r="E19" s="21" t="s">
        <v>45</v>
      </c>
      <c r="F19" s="21" t="s">
        <v>59</v>
      </c>
      <c r="G19" s="21" t="s">
        <v>71</v>
      </c>
      <c r="H19" s="21" t="s">
        <v>84</v>
      </c>
      <c r="I19" s="21"/>
      <c r="J19" s="21" t="s">
        <v>98</v>
      </c>
      <c r="K19" s="21" t="s">
        <v>106</v>
      </c>
      <c r="L19" s="21">
        <v>2</v>
      </c>
      <c r="M19" s="21">
        <f t="shared" ref="M19" si="11">L19*5</f>
        <v>10</v>
      </c>
      <c r="N19" s="21"/>
      <c r="O19" s="44"/>
      <c r="P19" s="22"/>
      <c r="Q19" s="22">
        <f t="shared" ref="Q19" si="12">P19*N19</f>
        <v>0</v>
      </c>
      <c r="R19" s="21"/>
      <c r="S19" s="21"/>
    </row>
    <row r="20" spans="1:19" x14ac:dyDescent="0.25">
      <c r="A20" s="1"/>
      <c r="B20" s="16">
        <f>ROW(B20) - ROW($B$7)</f>
        <v>13</v>
      </c>
      <c r="C20" s="23" t="s">
        <v>14</v>
      </c>
      <c r="D20" s="14" t="s">
        <v>29</v>
      </c>
      <c r="E20" s="14" t="s">
        <v>46</v>
      </c>
      <c r="F20" s="14" t="s">
        <v>59</v>
      </c>
      <c r="G20" s="14" t="s">
        <v>72</v>
      </c>
      <c r="H20" s="14" t="s">
        <v>84</v>
      </c>
      <c r="I20" s="14"/>
      <c r="J20" s="14" t="s">
        <v>99</v>
      </c>
      <c r="K20" s="14" t="s">
        <v>107</v>
      </c>
      <c r="L20" s="14">
        <v>2</v>
      </c>
      <c r="M20" s="14">
        <f>L20*5</f>
        <v>10</v>
      </c>
      <c r="N20" s="14"/>
      <c r="O20" s="43"/>
      <c r="P20" s="15"/>
      <c r="Q20" s="15">
        <f>P20*N20</f>
        <v>0</v>
      </c>
      <c r="R20" s="14"/>
      <c r="S20" s="20"/>
    </row>
    <row r="21" spans="1:19" x14ac:dyDescent="0.25">
      <c r="A21" s="1"/>
      <c r="B21" s="17">
        <f t="shared" si="0"/>
        <v>14</v>
      </c>
      <c r="C21" s="24"/>
      <c r="D21" s="21" t="s">
        <v>30</v>
      </c>
      <c r="E21" s="21"/>
      <c r="F21" s="21" t="s">
        <v>60</v>
      </c>
      <c r="G21" s="21"/>
      <c r="H21" s="21" t="s">
        <v>85</v>
      </c>
      <c r="I21" s="21"/>
      <c r="J21" s="21" t="s">
        <v>120</v>
      </c>
      <c r="K21" s="21" t="s">
        <v>108</v>
      </c>
      <c r="L21" s="21">
        <v>1</v>
      </c>
      <c r="M21" s="21">
        <f t="shared" ref="M21" si="13">L21*5</f>
        <v>5</v>
      </c>
      <c r="N21" s="21"/>
      <c r="O21" s="44"/>
      <c r="P21" s="22"/>
      <c r="Q21" s="22">
        <f t="shared" ref="Q21" si="14">P21*N21</f>
        <v>0</v>
      </c>
      <c r="R21" s="21"/>
      <c r="S21" s="21"/>
    </row>
    <row r="22" spans="1:19" x14ac:dyDescent="0.25">
      <c r="A22" s="1"/>
      <c r="B22" s="16">
        <f>ROW(B22) - ROW($B$7)</f>
        <v>15</v>
      </c>
      <c r="C22" s="23"/>
      <c r="D22" s="14" t="s">
        <v>31</v>
      </c>
      <c r="E22" s="14"/>
      <c r="F22" s="14"/>
      <c r="G22" s="14"/>
      <c r="H22" s="14"/>
      <c r="I22" s="14"/>
      <c r="J22" s="14"/>
      <c r="K22" s="14" t="s">
        <v>109</v>
      </c>
      <c r="L22" s="14">
        <v>1</v>
      </c>
      <c r="M22" s="14">
        <f>L22*5</f>
        <v>5</v>
      </c>
      <c r="N22" s="14"/>
      <c r="O22" s="43"/>
      <c r="P22" s="15"/>
      <c r="Q22" s="15">
        <f>P22*N22</f>
        <v>0</v>
      </c>
      <c r="R22" s="14"/>
      <c r="S22" s="20"/>
    </row>
    <row r="23" spans="1:19" ht="36.75" thickBot="1" x14ac:dyDescent="0.3">
      <c r="A23" s="1"/>
      <c r="B23" s="17">
        <f t="shared" si="0"/>
        <v>16</v>
      </c>
      <c r="C23" s="24" t="s">
        <v>15</v>
      </c>
      <c r="D23" s="21" t="s">
        <v>32</v>
      </c>
      <c r="E23" s="21" t="s">
        <v>47</v>
      </c>
      <c r="F23" s="21" t="s">
        <v>61</v>
      </c>
      <c r="G23" s="21" t="s">
        <v>73</v>
      </c>
      <c r="H23" s="21" t="s">
        <v>86</v>
      </c>
      <c r="I23" s="21"/>
      <c r="J23" s="21" t="s">
        <v>100</v>
      </c>
      <c r="K23" s="21" t="s">
        <v>73</v>
      </c>
      <c r="L23" s="21">
        <v>2</v>
      </c>
      <c r="M23" s="21">
        <f t="shared" ref="M23" si="15">L23*5</f>
        <v>10</v>
      </c>
      <c r="N23" s="21"/>
      <c r="O23" s="44"/>
      <c r="P23" s="22"/>
      <c r="Q23" s="22">
        <f t="shared" ref="Q23" si="16">P23*N23</f>
        <v>0</v>
      </c>
      <c r="R23" s="21"/>
      <c r="S23" s="21"/>
    </row>
    <row r="24" spans="1:19" ht="19.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7" t="s">
        <v>3</v>
      </c>
      <c r="O24" s="48"/>
      <c r="P24" s="48"/>
      <c r="Q24" s="18">
        <f>SUM(Q8:Q23)</f>
        <v>0</v>
      </c>
      <c r="R24" s="1"/>
      <c r="S24" s="1"/>
    </row>
    <row r="25" spans="1:19" ht="19.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7" t="s">
        <v>4</v>
      </c>
      <c r="O25" s="48"/>
      <c r="P25" s="48"/>
      <c r="Q25" s="19">
        <f>Q24/5</f>
        <v>0</v>
      </c>
      <c r="R25" s="1"/>
      <c r="S25" s="1"/>
    </row>
    <row r="37" spans="13:13" x14ac:dyDescent="0.25">
      <c r="M37" s="39"/>
    </row>
  </sheetData>
  <mergeCells count="4">
    <mergeCell ref="K1:S1"/>
    <mergeCell ref="S2:S6"/>
    <mergeCell ref="N24:P24"/>
    <mergeCell ref="N25:P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 Boards</vt:lpstr>
      <vt:lpstr>1000 Boards</vt:lpstr>
      <vt:lpstr>5 Boards Low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2024-05-21T07:10:05Z</dcterms:modified>
</cp:coreProperties>
</file>