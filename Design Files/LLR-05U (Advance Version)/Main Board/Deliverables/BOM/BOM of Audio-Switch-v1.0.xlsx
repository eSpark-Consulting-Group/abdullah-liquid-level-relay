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park Cons Group\Documents\GitHub\Melih-SoundSensor\junaidalam-audioswitch\Design-Files\Audio-Switch-v1.0\Project Outputs for Audio-Switch-v1.0\"/>
    </mc:Choice>
  </mc:AlternateContent>
  <xr:revisionPtr revIDLastSave="0" documentId="13_ncr:1_{B8F4A9AA-A5C9-4969-98CE-33FE1BE49A56}" xr6:coauthVersionLast="36" xr6:coauthVersionMax="3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49" i="1" l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<sst xmlns="http://schemas.openxmlformats.org/spreadsheetml/2006/main" count="290" uniqueCount="214">
  <si>
    <t>#</t>
  </si>
  <si>
    <t>Item Type</t>
  </si>
  <si>
    <t>Capacitor</t>
  </si>
  <si>
    <t>Schottky Diode</t>
  </si>
  <si>
    <t>Ferrite Bead</t>
  </si>
  <si>
    <t>Connectors</t>
  </si>
  <si>
    <t>Male Header</t>
  </si>
  <si>
    <t>Jtag Male Header</t>
  </si>
  <si>
    <t>Inductor</t>
  </si>
  <si>
    <t>LED</t>
  </si>
  <si>
    <t>BJTs</t>
  </si>
  <si>
    <t>Resistor</t>
  </si>
  <si>
    <t>Switch</t>
  </si>
  <si>
    <t>IC</t>
  </si>
  <si>
    <t>Amplifiers - Audio</t>
  </si>
  <si>
    <t>FIBER OPTIC RECEIVER</t>
  </si>
  <si>
    <t>Microcontrollers</t>
  </si>
  <si>
    <t>Buffers, Drivers and Transceivers</t>
  </si>
  <si>
    <t>Logic Gates</t>
  </si>
  <si>
    <t>Crystal</t>
  </si>
  <si>
    <t>Designator</t>
  </si>
  <si>
    <t>C1, C2</t>
  </si>
  <si>
    <t>C3, C11, C17, C19, C21, C23, C25, C27, C32, C34, C35, C36, C37, C38, C40, C44, C45, C48, C50, C51, C54, C55, C57, C60, C61, C67, C68, C69</t>
  </si>
  <si>
    <t>C4, C5</t>
  </si>
  <si>
    <t>C6, C18, C20, C22, C24, C26, C46, C47, C49, C52, C53, C56, C58, C59, C62</t>
  </si>
  <si>
    <t>C7</t>
  </si>
  <si>
    <t>C8</t>
  </si>
  <si>
    <t>C9, C33, C39</t>
  </si>
  <si>
    <t>C10</t>
  </si>
  <si>
    <t>C12, C13, C14, C15, C16, C41</t>
  </si>
  <si>
    <t>C28, C63</t>
  </si>
  <si>
    <t>C29, C64</t>
  </si>
  <si>
    <t>C30, C31, C65, C66</t>
  </si>
  <si>
    <t>C42, C43</t>
  </si>
  <si>
    <t>D1</t>
  </si>
  <si>
    <t>FB1</t>
  </si>
  <si>
    <t>J1</t>
  </si>
  <si>
    <t>J2, J3, J5, J6, J8, J9, J11, J12, J13, J14, J15, J16</t>
  </si>
  <si>
    <t>J4, J7</t>
  </si>
  <si>
    <t>J10</t>
  </si>
  <si>
    <t>L1</t>
  </si>
  <si>
    <t>L2</t>
  </si>
  <si>
    <t>LED1</t>
  </si>
  <si>
    <t>Q1, Q2, Q3, Q4, Q5, Q6, Q7, Q8, Q9, Q10, Q11, Q12</t>
  </si>
  <si>
    <t>R1, R8, R11, R14, R15, R19, R24, R25, R26, R27, R28, R29, R30, R31, R32, R33, R34, R37, R40, R41, R43</t>
  </si>
  <si>
    <t>R2</t>
  </si>
  <si>
    <t>R3, R4</t>
  </si>
  <si>
    <t>R5</t>
  </si>
  <si>
    <t>R6</t>
  </si>
  <si>
    <t>R7, R42</t>
  </si>
  <si>
    <t>R9, R10, R12, R13, R17, R18, R20, R21, R35, R36, R38, R39</t>
  </si>
  <si>
    <t>R16</t>
  </si>
  <si>
    <t>R22, R23</t>
  </si>
  <si>
    <t>R44</t>
  </si>
  <si>
    <t>SW1</t>
  </si>
  <si>
    <t>U1</t>
  </si>
  <si>
    <t>U2</t>
  </si>
  <si>
    <t>U3</t>
  </si>
  <si>
    <t>U4, U7</t>
  </si>
  <si>
    <t>U5</t>
  </si>
  <si>
    <t>U6</t>
  </si>
  <si>
    <t>U8, U9, U11, U12</t>
  </si>
  <si>
    <t>U10</t>
  </si>
  <si>
    <t>U13</t>
  </si>
  <si>
    <t>U14</t>
  </si>
  <si>
    <t>U15</t>
  </si>
  <si>
    <t>X1, X3</t>
  </si>
  <si>
    <t>X2</t>
  </si>
  <si>
    <t>Description</t>
  </si>
  <si>
    <t>CAP ALUM POLY 47UF 20% 25V SMD</t>
  </si>
  <si>
    <t>CAP CER 0.1UF 25V X7R 0402</t>
  </si>
  <si>
    <t>CAP CER 22UF 25V X5R 0805</t>
  </si>
  <si>
    <t>CAP CER 10UF 10V X5R 0402</t>
  </si>
  <si>
    <t>CAP CER 47uF 25V 1210</t>
  </si>
  <si>
    <t>CAP CER 2.2UF 25V X5R 0603</t>
  </si>
  <si>
    <t>CAP CER 1UF 16V X5R 0402</t>
  </si>
  <si>
    <t>CAP CER 10000PF 25V X7R 0402</t>
  </si>
  <si>
    <t>CAP CER 4.7UF 16V X5R 0402</t>
  </si>
  <si>
    <t>CAP CER 0.068UF 50V X7R 0402</t>
  </si>
  <si>
    <t>CAP CER 4700PF 50V X7R 0402</t>
  </si>
  <si>
    <t>CAP CER 18PF 50V C0G/NP0 0402</t>
  </si>
  <si>
    <t>CAP CER 30PF 50V C0G/NPO 0402</t>
  </si>
  <si>
    <t>60V 700mV@1A 1A SMA(DO-214AC) Schottky Barrier Diodes (SBD) ROHS</t>
  </si>
  <si>
    <t>FERRITE BEAD 120 OHM 0603 1LN</t>
  </si>
  <si>
    <t>DC Power Receptacle Jack 2.5A 2.5mm 6.5mm SMD Power Connectors RoHS</t>
  </si>
  <si>
    <t>CONN HEADER SMD R/A 4POS 2MM</t>
  </si>
  <si>
    <t>Gold 250V 3A Straight Square Pins 2.5mm 3P 260℃ 6mm -40℃~+105℃ 3mm 2.54mm Plugin Black Brass 1x3P Plugin,P=2.54mm Pin Headers ROHS</t>
  </si>
  <si>
    <t>CONN HEADER SMD 10POS 1.27MM</t>
  </si>
  <si>
    <t>2.34A 1.5uH Shielded Power Inductors ±20% SMD Power Inductors ROHS</t>
  </si>
  <si>
    <t>280mA 47uH ±20% 3.4Ω 0805 Inductors (SMD) ROHS</t>
  </si>
  <si>
    <t>RED LED 0603 Light Emitting Diodes</t>
  </si>
  <si>
    <t>TRANS PREBIAS NPN 50V SOT23-3</t>
  </si>
  <si>
    <t>RES 10K OHM 1% 1/16W 0402</t>
  </si>
  <si>
    <t>RES SMD 523K OHM 0.1% 1/10W 0603</t>
  </si>
  <si>
    <t>RES SMD 100K OHM 0.1% 1/10W 0603</t>
  </si>
  <si>
    <t>RES SMD 649 OHM 0.1% 1/8W 0805</t>
  </si>
  <si>
    <t>RES 49.9K OHM 1% 1/16W 0402</t>
  </si>
  <si>
    <t>RES 680 OHM 1% 1/16W 0402</t>
  </si>
  <si>
    <t>RES SMD 100 OHM 1% 1/10W 0603</t>
  </si>
  <si>
    <t>RES SMD 220 OHM 1% 1/10W 0603</t>
  </si>
  <si>
    <t>RES 4.7K OHM 1% 1/16W 0402</t>
  </si>
  <si>
    <t>RES 33 OHM 1% 1/16W 0402</t>
  </si>
  <si>
    <t>SWITCH TACTILE SPST-NO 0.05A 12V</t>
  </si>
  <si>
    <t>IC REG BCK BST ADJ 3.6A 15VQFN</t>
  </si>
  <si>
    <t>IC REG LINEAR 3.3V 1A SOT223-6</t>
  </si>
  <si>
    <t>IC REG LIN POS ADJ 200MA 10MSOP</t>
  </si>
  <si>
    <t>IC AUDIO TRANSCEIVER 48LQFP</t>
  </si>
  <si>
    <t>FIBER OPTIC RECEIVER IR</t>
  </si>
  <si>
    <t>IC MCU 32BIT 256KB FLASH 64LQFP</t>
  </si>
  <si>
    <t>TRANSMITTER FBR OPT IR PHOTOLINK</t>
  </si>
  <si>
    <t>IC SWITCH SP4T X 1 5OHM 10VSSOP</t>
  </si>
  <si>
    <t>IC BUFF NON-INVERT 5.5V SOT23-5</t>
  </si>
  <si>
    <t>IC GATE AND 1CH 2-INP SC70-5</t>
  </si>
  <si>
    <t>IC BUFFER NON-INVERT 5.5V SM8</t>
  </si>
  <si>
    <t>24.576MHz SMD Crystal Resonator 12pF 60Ω ±10ppm -40℃~+85℃ SMD3225-4P Crystals ROHS</t>
  </si>
  <si>
    <t>8MHz 18pF ±10ppm SMD5032-4P Crystals ROHS</t>
  </si>
  <si>
    <t>25SVPF47M</t>
  </si>
  <si>
    <t>DC-005-5A-2.5-SMT</t>
  </si>
  <si>
    <t>S4B-PH-SM4-TB(LF)(SN)</t>
  </si>
  <si>
    <t>LVT303012-1R5M-N</t>
  </si>
  <si>
    <t>B3U-1000P</t>
  </si>
  <si>
    <t>PLR237/T10BK</t>
  </si>
  <si>
    <t>PLT133/T10W</t>
  </si>
  <si>
    <t>Manufacturer Part Number</t>
  </si>
  <si>
    <t>CC0402KRX7R8BB104</t>
  </si>
  <si>
    <t>CL21A226MAYNNNE</t>
  </si>
  <si>
    <t>CL05A106MP5NUNC</t>
  </si>
  <si>
    <t>TMK325ABJ476MM-P</t>
  </si>
  <si>
    <t>CC0603KRX5R8BB225</t>
  </si>
  <si>
    <t>CC0402KRX5R7BB105</t>
  </si>
  <si>
    <t>CC0402KRX7R8BB103</t>
  </si>
  <si>
    <t>CL05A475MO5NUNC</t>
  </si>
  <si>
    <t>CC0402KRX7R9BB683</t>
  </si>
  <si>
    <t>CC0402KRX7R9BB472</t>
  </si>
  <si>
    <t>GCM1555C1H180GA16D</t>
  </si>
  <si>
    <t>CC0402JRNPO9BN300</t>
  </si>
  <si>
    <t>SS16</t>
  </si>
  <si>
    <t>BLM18SG121TN1D</t>
  </si>
  <si>
    <t>X6511WV-03H-C60D30</t>
  </si>
  <si>
    <t>20021121-00010C4LF</t>
  </si>
  <si>
    <t>MLW2012RF-470MT</t>
  </si>
  <si>
    <t>NCD0603R3</t>
  </si>
  <si>
    <t>DDTD113ZC-7-F</t>
  </si>
  <si>
    <t>RC0402FR-0710KL</t>
  </si>
  <si>
    <t>RT0603BRD07523KL</t>
  </si>
  <si>
    <t>RT0603BRD07100KL</t>
  </si>
  <si>
    <t>RT0805BRD07649RL</t>
  </si>
  <si>
    <t>RC0402FR-0749K9L</t>
  </si>
  <si>
    <t>RC0402FR-07680RL</t>
  </si>
  <si>
    <t>RC0603FR-07100RL</t>
  </si>
  <si>
    <t>RC0603FR-07220RL</t>
  </si>
  <si>
    <t>RC0402FR-074K7L</t>
  </si>
  <si>
    <t>RC0402FR-0733RL</t>
  </si>
  <si>
    <t>TPS63070RNMR</t>
  </si>
  <si>
    <t>TPS79633DCQR</t>
  </si>
  <si>
    <t>LT3042IMSE#PBF</t>
  </si>
  <si>
    <t>PCM9211PTR</t>
  </si>
  <si>
    <t>STM32F401RCT6</t>
  </si>
  <si>
    <t>TMUX1204DGSR</t>
  </si>
  <si>
    <t>SN74LVC1G125DBVR</t>
  </si>
  <si>
    <t>SN74LVC1G08DCKR</t>
  </si>
  <si>
    <t>SN74LVC2G125DCTR</t>
  </si>
  <si>
    <t>S3224576121060</t>
  </si>
  <si>
    <t>5TJ480000XYLBC</t>
  </si>
  <si>
    <t>Manufacturer</t>
  </si>
  <si>
    <t>Panasonic</t>
  </si>
  <si>
    <t>Yageo</t>
  </si>
  <si>
    <t>Samsung</t>
  </si>
  <si>
    <t>Taiyo Yuden</t>
  </si>
  <si>
    <t>Murata</t>
  </si>
  <si>
    <t>MDD</t>
  </si>
  <si>
    <t>XKB Enterprise</t>
  </si>
  <si>
    <t>JST</t>
  </si>
  <si>
    <t>XKB</t>
  </si>
  <si>
    <t>Amphenol FCI</t>
  </si>
  <si>
    <t>Chilisin Elec</t>
  </si>
  <si>
    <t>MetalLions</t>
  </si>
  <si>
    <t>Foshan NationStar Optoelectronics</t>
  </si>
  <si>
    <t>Diodes Zetex</t>
  </si>
  <si>
    <t>Omron</t>
  </si>
  <si>
    <t>Texas Instruments</t>
  </si>
  <si>
    <t>Analog Devices / Linear Technology</t>
  </si>
  <si>
    <t>Everlight</t>
  </si>
  <si>
    <t>STMicroelectronics</t>
  </si>
  <si>
    <t>JGHC</t>
  </si>
  <si>
    <t>JYJE</t>
  </si>
  <si>
    <t>Comment</t>
  </si>
  <si>
    <t>47uF</t>
  </si>
  <si>
    <t>0.1uF</t>
  </si>
  <si>
    <t>22uF</t>
  </si>
  <si>
    <t>10uF</t>
  </si>
  <si>
    <t>2.2uF</t>
  </si>
  <si>
    <t>1uF</t>
  </si>
  <si>
    <t>10nF</t>
  </si>
  <si>
    <t>4.7uF</t>
  </si>
  <si>
    <t>68nF</t>
  </si>
  <si>
    <t>4.7nF</t>
  </si>
  <si>
    <t>18pF</t>
  </si>
  <si>
    <t>30pF</t>
  </si>
  <si>
    <t>1.5uH</t>
  </si>
  <si>
    <t>47uH</t>
  </si>
  <si>
    <t>RED</t>
  </si>
  <si>
    <t>10K</t>
  </si>
  <si>
    <t>523K</t>
  </si>
  <si>
    <t>100K</t>
  </si>
  <si>
    <t>649R</t>
  </si>
  <si>
    <t>49.9K</t>
  </si>
  <si>
    <t>680R</t>
  </si>
  <si>
    <t>100R</t>
  </si>
  <si>
    <t>220R</t>
  </si>
  <si>
    <t>4.7K</t>
  </si>
  <si>
    <t>33R</t>
  </si>
  <si>
    <t>8MHz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</si>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</sst>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3" borderId="2" xfId="0" applyFont="1" applyFill="1" applyBorder="1" applyAlignment="1" applyProtection="1">
      <alignment horizontal="left" vertical="top"/>
      <protection locked="0"/>
    </xf>
    <xf numFmtId="0" fontId="3" fillId="3" borderId="2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>
      <alignment horizontal="center"/>
    </xf>
    <xf numFmtId="0" fontId="4" fillId="3" borderId="8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4" borderId="9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 applyProtection="1">
      <alignment horizontal="center" vertical="center"/>
      <protection locked="0"/>
    </xf>
    <xf numFmtId="0" fontId="2" fillId="3" borderId="6" xfId="0" applyFont="1" applyFill="1" applyBorder="1" applyAlignment="1" applyProtection="1">
      <alignment vertical="center"/>
      <protection locked="0"/>
    </xf>
    <xf numFmtId="0" fontId="3" fillId="3" borderId="6" xfId="0" applyFont="1" applyFill="1" applyBorder="1" applyAlignment="1" applyProtection="1">
      <alignment horizontal="left" vertical="center"/>
      <protection locked="0"/>
    </xf>
    <xf numFmtId="0" fontId="0" fillId="3" borderId="6" xfId="0" applyFill="1" applyBorder="1" applyAlignment="1">
      <alignment vertical="center"/>
    </xf>
    <xf numFmtId="0" fontId="0" fillId="3" borderId="6" xfId="0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 vertical="top"/>
      <protection locked="0"/>
    </xf>
    <xf numFmtId="0" fontId="2" fillId="4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51"/>
  <sheetViews>
    <sheetView tabSelected="1" workbookViewId="0">
      <selection activeCell="M16" sqref="M16"/>
    </sheetView>
  </sheetViews>
  <sheetFormatPr defaultRowHeight="15" x14ac:dyDescent="0.25"/>
  <cols>
    <col min="2" max="2" width="3.140625" style="7" customWidth="1"/>
    <col min="3" max="3" width="18.7109375" style="7" bestFit="1" customWidth="1"/>
    <col min="4" max="4" width="36" bestFit="1" customWidth="1"/>
    <col min="5" max="5" width="30" customWidth="1"/>
    <col min="6" max="6" width="33.42578125" bestFit="1" customWidth="1"/>
    <col min="7" max="7" width="21.42578125" bestFit="1" customWidth="1"/>
    <col min="8" max="8" width="17.85546875" bestFit="1" customWidth="1"/>
    <col min="9" max="9" width="16.7109375" bestFit="1" customWidth="1"/>
  </cols>
  <sheetData>
    <row r="1" spans="1:9" ht="15.75" thickBot="1" x14ac:dyDescent="0.3">
      <c r="A1" s="1"/>
      <c r="B1" s="5"/>
      <c r="C1" s="5"/>
      <c r="D1" s="2"/>
      <c r="E1" s="2"/>
      <c r="F1" s="2"/>
      <c r="G1" s="2"/>
      <c r="H1" s="24"/>
      <c r="I1" s="24"/>
    </row>
    <row r="2" spans="1:9" ht="15.75" thickBot="1" x14ac:dyDescent="0.3">
      <c r="A2" s="1"/>
      <c r="B2" s="8" t="s">
        <v>0</v>
      </c>
      <c r="C2" s="8" t="s">
        <v>1</v>
      </c>
      <c r="D2" s="8" t="s">
        <v>20</v>
      </c>
      <c r="E2" s="9" t="s">
        <v>68</v>
      </c>
      <c r="F2" s="9" t="s">
        <v>123</v>
      </c>
      <c r="G2" s="8" t="s">
        <v>164</v>
      </c>
      <c r="H2" s="9" t="s">
        <v>186</v>
      </c>
      <c r="I2" s="8" t="s">
        <v>213</v>
      </c>
    </row>
    <row r="3" spans="1:9" ht="15.75" thickBot="1" x14ac:dyDescent="0.3">
      <c r="A3" s="1"/>
      <c r="B3" s="21">
        <f>ROW(B3) - ROW($B$2)</f>
        <v>1</v>
      </c>
      <c r="C3" s="22" t="s">
        <v>2</v>
      </c>
      <c r="D3" s="15" t="s">
        <v>21</v>
      </c>
      <c r="E3" s="16" t="s">
        <v>69</v>
      </c>
      <c r="F3" s="16" t="s">
        <v>116</v>
      </c>
      <c r="G3" s="15" t="s">
        <v>165</v>
      </c>
      <c r="H3" s="16" t="s">
        <v>187</v>
      </c>
      <c r="I3" s="15">
        <v>2</v>
      </c>
    </row>
    <row r="4" spans="1:9" ht="36.75" thickBot="1" x14ac:dyDescent="0.3">
      <c r="A4" s="1"/>
      <c r="B4" s="21">
        <f t="shared" ref="B4:B48" si="0">ROW(B4) - ROW($B$2)</f>
        <v>2</v>
      </c>
      <c r="C4" s="22" t="s">
        <v>2</v>
      </c>
      <c r="D4" s="17" t="s">
        <v>22</v>
      </c>
      <c r="E4" s="18" t="s">
        <v>70</v>
      </c>
      <c r="F4" s="18" t="s">
        <v>124</v>
      </c>
      <c r="G4" s="17" t="s">
        <v>166</v>
      </c>
      <c r="H4" s="18" t="s">
        <v>188</v>
      </c>
      <c r="I4" s="17">
        <v>28</v>
      </c>
    </row>
    <row r="5" spans="1:9" ht="15.75" thickBot="1" x14ac:dyDescent="0.3">
      <c r="A5" s="1"/>
      <c r="B5" s="21">
        <f>ROW(B5) - ROW($B$2)</f>
        <v>3</v>
      </c>
      <c r="C5" s="22" t="s">
        <v>2</v>
      </c>
      <c r="D5" s="15" t="s">
        <v>23</v>
      </c>
      <c r="E5" s="16" t="s">
        <v>71</v>
      </c>
      <c r="F5" s="16" t="s">
        <v>125</v>
      </c>
      <c r="G5" s="15" t="s">
        <v>167</v>
      </c>
      <c r="H5" s="16" t="s">
        <v>189</v>
      </c>
      <c r="I5" s="15">
        <v>2</v>
      </c>
    </row>
    <row r="6" spans="1:9" ht="24.75" thickBot="1" x14ac:dyDescent="0.3">
      <c r="A6" s="1"/>
      <c r="B6" s="21">
        <f t="shared" si="0"/>
        <v>4</v>
      </c>
      <c r="C6" s="23" t="s">
        <v>2</v>
      </c>
      <c r="D6" s="17" t="s">
        <v>24</v>
      </c>
      <c r="E6" s="18" t="s">
        <v>72</v>
      </c>
      <c r="F6" s="18" t="s">
        <v>126</v>
      </c>
      <c r="G6" s="17" t="s">
        <v>167</v>
      </c>
      <c r="H6" s="18" t="s">
        <v>190</v>
      </c>
      <c r="I6" s="17">
        <v>15</v>
      </c>
    </row>
    <row r="7" spans="1:9" ht="15.75" thickBot="1" x14ac:dyDescent="0.3">
      <c r="A7" s="1"/>
      <c r="B7" s="21">
        <f>ROW(B7) - ROW($B$2)</f>
        <v>5</v>
      </c>
      <c r="C7" s="22" t="s">
        <v>2</v>
      </c>
      <c r="D7" s="15" t="s">
        <v>25</v>
      </c>
      <c r="E7" s="16" t="s">
        <v>73</v>
      </c>
      <c r="F7" s="16" t="s">
        <v>127</v>
      </c>
      <c r="G7" s="15" t="s">
        <v>168</v>
      </c>
      <c r="H7" s="16" t="s">
        <v>187</v>
      </c>
      <c r="I7" s="15">
        <v>1</v>
      </c>
    </row>
    <row r="8" spans="1:9" ht="15.75" thickBot="1" x14ac:dyDescent="0.3">
      <c r="A8" s="1"/>
      <c r="B8" s="21">
        <f t="shared" si="0"/>
        <v>6</v>
      </c>
      <c r="C8" s="23" t="s">
        <v>2</v>
      </c>
      <c r="D8" s="17" t="s">
        <v>26</v>
      </c>
      <c r="E8" s="18" t="s">
        <v>74</v>
      </c>
      <c r="F8" s="18" t="s">
        <v>128</v>
      </c>
      <c r="G8" s="17" t="s">
        <v>166</v>
      </c>
      <c r="H8" s="18" t="s">
        <v>191</v>
      </c>
      <c r="I8" s="17">
        <v>1</v>
      </c>
    </row>
    <row r="9" spans="1:9" ht="15.75" thickBot="1" x14ac:dyDescent="0.3">
      <c r="A9" s="1"/>
      <c r="B9" s="21">
        <f>ROW(B9) - ROW($B$2)</f>
        <v>7</v>
      </c>
      <c r="C9" s="22" t="s">
        <v>2</v>
      </c>
      <c r="D9" s="15" t="s">
        <v>27</v>
      </c>
      <c r="E9" s="16" t="s">
        <v>75</v>
      </c>
      <c r="F9" s="16" t="s">
        <v>129</v>
      </c>
      <c r="G9" s="15" t="s">
        <v>166</v>
      </c>
      <c r="H9" s="16" t="s">
        <v>192</v>
      </c>
      <c r="I9" s="15">
        <v>3</v>
      </c>
    </row>
    <row r="10" spans="1:9" ht="15.75" thickBot="1" x14ac:dyDescent="0.3">
      <c r="A10" s="1"/>
      <c r="B10" s="21">
        <f t="shared" si="0"/>
        <v>8</v>
      </c>
      <c r="C10" s="23" t="s">
        <v>2</v>
      </c>
      <c r="D10" s="17" t="s">
        <v>28</v>
      </c>
      <c r="E10" s="18" t="s">
        <v>76</v>
      </c>
      <c r="F10" s="18" t="s">
        <v>130</v>
      </c>
      <c r="G10" s="17" t="s">
        <v>166</v>
      </c>
      <c r="H10" s="18" t="s">
        <v>193</v>
      </c>
      <c r="I10" s="17">
        <v>1</v>
      </c>
    </row>
    <row r="11" spans="1:9" ht="15.75" thickBot="1" x14ac:dyDescent="0.3">
      <c r="A11" s="1"/>
      <c r="B11" s="21">
        <f>ROW(B11) - ROW($B$2)</f>
        <v>9</v>
      </c>
      <c r="C11" s="22" t="s">
        <v>2</v>
      </c>
      <c r="D11" s="15" t="s">
        <v>29</v>
      </c>
      <c r="E11" s="16" t="s">
        <v>77</v>
      </c>
      <c r="F11" s="16" t="s">
        <v>131</v>
      </c>
      <c r="G11" s="15" t="s">
        <v>167</v>
      </c>
      <c r="H11" s="16" t="s">
        <v>194</v>
      </c>
      <c r="I11" s="15">
        <v>6</v>
      </c>
    </row>
    <row r="12" spans="1:9" ht="15.75" thickBot="1" x14ac:dyDescent="0.3">
      <c r="A12" s="1"/>
      <c r="B12" s="21">
        <f t="shared" si="0"/>
        <v>10</v>
      </c>
      <c r="C12" s="23" t="s">
        <v>2</v>
      </c>
      <c r="D12" s="17" t="s">
        <v>30</v>
      </c>
      <c r="E12" s="18" t="s">
        <v>78</v>
      </c>
      <c r="F12" s="18" t="s">
        <v>132</v>
      </c>
      <c r="G12" s="17" t="s">
        <v>166</v>
      </c>
      <c r="H12" s="18" t="s">
        <v>195</v>
      </c>
      <c r="I12" s="17">
        <v>2</v>
      </c>
    </row>
    <row r="13" spans="1:9" ht="15.75" thickBot="1" x14ac:dyDescent="0.3">
      <c r="A13" s="1"/>
      <c r="B13" s="21">
        <f>ROW(B13) - ROW($B$2)</f>
        <v>11</v>
      </c>
      <c r="C13" s="22" t="s">
        <v>2</v>
      </c>
      <c r="D13" s="15" t="s">
        <v>31</v>
      </c>
      <c r="E13" s="16" t="s">
        <v>79</v>
      </c>
      <c r="F13" s="16" t="s">
        <v>133</v>
      </c>
      <c r="G13" s="15" t="s">
        <v>166</v>
      </c>
      <c r="H13" s="16" t="s">
        <v>196</v>
      </c>
      <c r="I13" s="15">
        <v>2</v>
      </c>
    </row>
    <row r="14" spans="1:9" ht="15.75" thickBot="1" x14ac:dyDescent="0.3">
      <c r="A14" s="1"/>
      <c r="B14" s="21">
        <f t="shared" si="0"/>
        <v>12</v>
      </c>
      <c r="C14" s="23" t="s">
        <v>2</v>
      </c>
      <c r="D14" s="17" t="s">
        <v>32</v>
      </c>
      <c r="E14" s="18" t="s">
        <v>80</v>
      </c>
      <c r="F14" s="18" t="s">
        <v>134</v>
      </c>
      <c r="G14" s="17" t="s">
        <v>169</v>
      </c>
      <c r="H14" s="18" t="s">
        <v>197</v>
      </c>
      <c r="I14" s="17">
        <v>4</v>
      </c>
    </row>
    <row r="15" spans="1:9" ht="15.75" thickBot="1" x14ac:dyDescent="0.3">
      <c r="A15" s="1"/>
      <c r="B15" s="21">
        <f>ROW(B15) - ROW($B$2)</f>
        <v>13</v>
      </c>
      <c r="C15" s="22" t="s">
        <v>2</v>
      </c>
      <c r="D15" s="15" t="s">
        <v>33</v>
      </c>
      <c r="E15" s="16" t="s">
        <v>81</v>
      </c>
      <c r="F15" s="16" t="s">
        <v>135</v>
      </c>
      <c r="G15" s="15" t="s">
        <v>166</v>
      </c>
      <c r="H15" s="16" t="s">
        <v>198</v>
      </c>
      <c r="I15" s="15">
        <v>2</v>
      </c>
    </row>
    <row r="16" spans="1:9" ht="24.75" thickBot="1" x14ac:dyDescent="0.3">
      <c r="A16" s="1"/>
      <c r="B16" s="21">
        <f t="shared" si="0"/>
        <v>14</v>
      </c>
      <c r="C16" s="23" t="s">
        <v>3</v>
      </c>
      <c r="D16" s="17" t="s">
        <v>34</v>
      </c>
      <c r="E16" s="18" t="s">
        <v>82</v>
      </c>
      <c r="F16" s="18" t="s">
        <v>136</v>
      </c>
      <c r="G16" s="17" t="s">
        <v>170</v>
      </c>
      <c r="H16" s="18" t="s">
        <v>136</v>
      </c>
      <c r="I16" s="17">
        <v>1</v>
      </c>
    </row>
    <row r="17" spans="1:9" ht="15.75" thickBot="1" x14ac:dyDescent="0.3">
      <c r="A17" s="1"/>
      <c r="B17" s="21">
        <f>ROW(B17) - ROW($B$2)</f>
        <v>15</v>
      </c>
      <c r="C17" s="22" t="s">
        <v>4</v>
      </c>
      <c r="D17" s="15" t="s">
        <v>35</v>
      </c>
      <c r="E17" s="16" t="s">
        <v>83</v>
      </c>
      <c r="F17" s="16" t="s">
        <v>137</v>
      </c>
      <c r="G17" s="15" t="s">
        <v>169</v>
      </c>
      <c r="H17" s="16" t="s">
        <v>137</v>
      </c>
      <c r="I17" s="15">
        <v>1</v>
      </c>
    </row>
    <row r="18" spans="1:9" ht="36.75" thickBot="1" x14ac:dyDescent="0.3">
      <c r="A18" s="1"/>
      <c r="B18" s="21">
        <f t="shared" si="0"/>
        <v>16</v>
      </c>
      <c r="C18" s="22" t="s">
        <v>5</v>
      </c>
      <c r="D18" s="17" t="s">
        <v>36</v>
      </c>
      <c r="E18" s="18" t="s">
        <v>84</v>
      </c>
      <c r="F18" s="18" t="s">
        <v>117</v>
      </c>
      <c r="G18" s="17" t="s">
        <v>171</v>
      </c>
      <c r="H18" s="18" t="s">
        <v>117</v>
      </c>
      <c r="I18" s="17">
        <v>1</v>
      </c>
    </row>
    <row r="19" spans="1:9" ht="24.75" thickBot="1" x14ac:dyDescent="0.3">
      <c r="A19" s="1"/>
      <c r="B19" s="21">
        <f>ROW(B19) - ROW($B$2)</f>
        <v>17</v>
      </c>
      <c r="C19" s="22" t="s">
        <v>5</v>
      </c>
      <c r="D19" s="15" t="s">
        <v>37</v>
      </c>
      <c r="E19" s="16" t="s">
        <v>85</v>
      </c>
      <c r="F19" s="16" t="s">
        <v>118</v>
      </c>
      <c r="G19" s="15" t="s">
        <v>172</v>
      </c>
      <c r="H19" s="16" t="s">
        <v>118</v>
      </c>
      <c r="I19" s="15">
        <v>12</v>
      </c>
    </row>
    <row r="20" spans="1:9" ht="48.75" thickBot="1" x14ac:dyDescent="0.3">
      <c r="A20" s="1"/>
      <c r="B20" s="21">
        <f t="shared" si="0"/>
        <v>18</v>
      </c>
      <c r="C20" s="23" t="s">
        <v>6</v>
      </c>
      <c r="D20" s="17" t="s">
        <v>38</v>
      </c>
      <c r="E20" s="18" t="s">
        <v>86</v>
      </c>
      <c r="F20" s="18" t="s">
        <v>138</v>
      </c>
      <c r="G20" s="17" t="s">
        <v>173</v>
      </c>
      <c r="H20" s="18" t="s">
        <v>138</v>
      </c>
      <c r="I20" s="17">
        <v>2</v>
      </c>
    </row>
    <row r="21" spans="1:9" ht="15.75" thickBot="1" x14ac:dyDescent="0.3">
      <c r="A21" s="1"/>
      <c r="B21" s="21">
        <f>ROW(B21) - ROW($B$2)</f>
        <v>19</v>
      </c>
      <c r="C21" s="22" t="s">
        <v>7</v>
      </c>
      <c r="D21" s="15" t="s">
        <v>39</v>
      </c>
      <c r="E21" s="16" t="s">
        <v>87</v>
      </c>
      <c r="F21" s="16" t="s">
        <v>139</v>
      </c>
      <c r="G21" s="15" t="s">
        <v>174</v>
      </c>
      <c r="H21" s="16" t="s">
        <v>139</v>
      </c>
      <c r="I21" s="15">
        <v>1</v>
      </c>
    </row>
    <row r="22" spans="1:9" ht="36.75" thickBot="1" x14ac:dyDescent="0.3">
      <c r="A22" s="1"/>
      <c r="B22" s="21">
        <f t="shared" si="0"/>
        <v>20</v>
      </c>
      <c r="C22" s="23" t="s">
        <v>8</v>
      </c>
      <c r="D22" s="17" t="s">
        <v>40</v>
      </c>
      <c r="E22" s="18" t="s">
        <v>88</v>
      </c>
      <c r="F22" s="18" t="s">
        <v>119</v>
      </c>
      <c r="G22" s="17" t="s">
        <v>175</v>
      </c>
      <c r="H22" s="18" t="s">
        <v>199</v>
      </c>
      <c r="I22" s="17">
        <v>1</v>
      </c>
    </row>
    <row r="23" spans="1:9" ht="24.75" thickBot="1" x14ac:dyDescent="0.3">
      <c r="A23" s="1"/>
      <c r="B23" s="21">
        <f>ROW(B23) - ROW($B$2)</f>
        <v>21</v>
      </c>
      <c r="C23" s="22" t="s">
        <v>8</v>
      </c>
      <c r="D23" s="15" t="s">
        <v>41</v>
      </c>
      <c r="E23" s="16" t="s">
        <v>89</v>
      </c>
      <c r="F23" s="16" t="s">
        <v>140</v>
      </c>
      <c r="G23" s="15" t="s">
        <v>176</v>
      </c>
      <c r="H23" s="16" t="s">
        <v>200</v>
      </c>
      <c r="I23" s="15">
        <v>1</v>
      </c>
    </row>
    <row r="24" spans="1:9" ht="24.75" thickBot="1" x14ac:dyDescent="0.3">
      <c r="A24" s="1"/>
      <c r="B24" s="21">
        <f t="shared" si="0"/>
        <v>22</v>
      </c>
      <c r="C24" s="23" t="s">
        <v>9</v>
      </c>
      <c r="D24" s="17" t="s">
        <v>42</v>
      </c>
      <c r="E24" s="18" t="s">
        <v>90</v>
      </c>
      <c r="F24" s="18" t="s">
        <v>141</v>
      </c>
      <c r="G24" s="17" t="s">
        <v>177</v>
      </c>
      <c r="H24" s="18" t="s">
        <v>201</v>
      </c>
      <c r="I24" s="17">
        <v>1</v>
      </c>
    </row>
    <row r="25" spans="1:9" ht="24.75" thickBot="1" x14ac:dyDescent="0.3">
      <c r="A25" s="1"/>
      <c r="B25" s="21">
        <f>ROW(B25) - ROW($B$2)</f>
        <v>23</v>
      </c>
      <c r="C25" s="22" t="s">
        <v>10</v>
      </c>
      <c r="D25" s="15" t="s">
        <v>43</v>
      </c>
      <c r="E25" s="16" t="s">
        <v>91</v>
      </c>
      <c r="F25" s="16" t="s">
        <v>142</v>
      </c>
      <c r="G25" s="15" t="s">
        <v>178</v>
      </c>
      <c r="H25" s="16" t="s">
        <v>142</v>
      </c>
      <c r="I25" s="15">
        <v>12</v>
      </c>
    </row>
    <row r="26" spans="1:9" ht="36.75" thickBot="1" x14ac:dyDescent="0.3">
      <c r="A26" s="1"/>
      <c r="B26" s="21">
        <f t="shared" si="0"/>
        <v>24</v>
      </c>
      <c r="C26" s="23" t="s">
        <v>11</v>
      </c>
      <c r="D26" s="17" t="s">
        <v>44</v>
      </c>
      <c r="E26" s="18" t="s">
        <v>92</v>
      </c>
      <c r="F26" s="18" t="s">
        <v>143</v>
      </c>
      <c r="G26" s="17" t="s">
        <v>166</v>
      </c>
      <c r="H26" s="18" t="s">
        <v>202</v>
      </c>
      <c r="I26" s="17">
        <v>21</v>
      </c>
    </row>
    <row r="27" spans="1:9" ht="15.75" thickBot="1" x14ac:dyDescent="0.3">
      <c r="A27" s="1"/>
      <c r="B27" s="21">
        <f>ROW(B27) - ROW($B$2)</f>
        <v>25</v>
      </c>
      <c r="C27" s="22" t="s">
        <v>11</v>
      </c>
      <c r="D27" s="15" t="s">
        <v>45</v>
      </c>
      <c r="E27" s="16" t="s">
        <v>93</v>
      </c>
      <c r="F27" s="16" t="s">
        <v>144</v>
      </c>
      <c r="G27" s="15" t="s">
        <v>166</v>
      </c>
      <c r="H27" s="16" t="s">
        <v>203</v>
      </c>
      <c r="I27" s="15">
        <v>1</v>
      </c>
    </row>
    <row r="28" spans="1:9" ht="15.75" thickBot="1" x14ac:dyDescent="0.3">
      <c r="A28" s="1"/>
      <c r="B28" s="21">
        <f t="shared" si="0"/>
        <v>26</v>
      </c>
      <c r="C28" s="23" t="s">
        <v>11</v>
      </c>
      <c r="D28" s="17" t="s">
        <v>46</v>
      </c>
      <c r="E28" s="18" t="s">
        <v>94</v>
      </c>
      <c r="F28" s="18" t="s">
        <v>145</v>
      </c>
      <c r="G28" s="17" t="s">
        <v>166</v>
      </c>
      <c r="H28" s="18" t="s">
        <v>204</v>
      </c>
      <c r="I28" s="17">
        <v>2</v>
      </c>
    </row>
    <row r="29" spans="1:9" ht="15.75" thickBot="1" x14ac:dyDescent="0.3">
      <c r="A29" s="1"/>
      <c r="B29" s="21">
        <f>ROW(B29) - ROW($B$2)</f>
        <v>27</v>
      </c>
      <c r="C29" s="22" t="s">
        <v>11</v>
      </c>
      <c r="D29" s="15" t="s">
        <v>47</v>
      </c>
      <c r="E29" s="16" t="s">
        <v>95</v>
      </c>
      <c r="F29" s="16" t="s">
        <v>146</v>
      </c>
      <c r="G29" s="15" t="s">
        <v>166</v>
      </c>
      <c r="H29" s="16" t="s">
        <v>205</v>
      </c>
      <c r="I29" s="15">
        <v>1</v>
      </c>
    </row>
    <row r="30" spans="1:9" ht="15.75" thickBot="1" x14ac:dyDescent="0.3">
      <c r="A30" s="1"/>
      <c r="B30" s="21">
        <f t="shared" si="0"/>
        <v>28</v>
      </c>
      <c r="C30" s="23" t="s">
        <v>11</v>
      </c>
      <c r="D30" s="17" t="s">
        <v>48</v>
      </c>
      <c r="E30" s="18" t="s">
        <v>96</v>
      </c>
      <c r="F30" s="18" t="s">
        <v>147</v>
      </c>
      <c r="G30" s="17" t="s">
        <v>166</v>
      </c>
      <c r="H30" s="18" t="s">
        <v>206</v>
      </c>
      <c r="I30" s="17">
        <v>1</v>
      </c>
    </row>
    <row r="31" spans="1:9" ht="15.75" thickBot="1" x14ac:dyDescent="0.3">
      <c r="A31" s="1"/>
      <c r="B31" s="21">
        <f>ROW(B31) - ROW($B$2)</f>
        <v>29</v>
      </c>
      <c r="C31" s="22" t="s">
        <v>11</v>
      </c>
      <c r="D31" s="15" t="s">
        <v>49</v>
      </c>
      <c r="E31" s="16" t="s">
        <v>97</v>
      </c>
      <c r="F31" s="16" t="s">
        <v>148</v>
      </c>
      <c r="G31" s="15" t="s">
        <v>166</v>
      </c>
      <c r="H31" s="16" t="s">
        <v>207</v>
      </c>
      <c r="I31" s="15">
        <v>2</v>
      </c>
    </row>
    <row r="32" spans="1:9" ht="24.75" thickBot="1" x14ac:dyDescent="0.3">
      <c r="A32" s="1"/>
      <c r="B32" s="21">
        <f t="shared" si="0"/>
        <v>30</v>
      </c>
      <c r="C32" s="23" t="s">
        <v>11</v>
      </c>
      <c r="D32" s="17" t="s">
        <v>50</v>
      </c>
      <c r="E32" s="18" t="s">
        <v>98</v>
      </c>
      <c r="F32" s="18" t="s">
        <v>149</v>
      </c>
      <c r="G32" s="17" t="s">
        <v>166</v>
      </c>
      <c r="H32" s="18" t="s">
        <v>208</v>
      </c>
      <c r="I32" s="17">
        <v>12</v>
      </c>
    </row>
    <row r="33" spans="1:9" ht="15.75" thickBot="1" x14ac:dyDescent="0.3">
      <c r="A33" s="1"/>
      <c r="B33" s="21">
        <f>ROW(B33) - ROW($B$2)</f>
        <v>31</v>
      </c>
      <c r="C33" s="22" t="s">
        <v>11</v>
      </c>
      <c r="D33" s="15" t="s">
        <v>51</v>
      </c>
      <c r="E33" s="16" t="s">
        <v>99</v>
      </c>
      <c r="F33" s="16" t="s">
        <v>150</v>
      </c>
      <c r="G33" s="15" t="s">
        <v>166</v>
      </c>
      <c r="H33" s="16" t="s">
        <v>209</v>
      </c>
      <c r="I33" s="15">
        <v>1</v>
      </c>
    </row>
    <row r="34" spans="1:9" ht="15.75" thickBot="1" x14ac:dyDescent="0.3">
      <c r="A34" s="1"/>
      <c r="B34" s="21">
        <f t="shared" si="0"/>
        <v>32</v>
      </c>
      <c r="C34" s="23" t="s">
        <v>11</v>
      </c>
      <c r="D34" s="17" t="s">
        <v>52</v>
      </c>
      <c r="E34" s="18" t="s">
        <v>100</v>
      </c>
      <c r="F34" s="18" t="s">
        <v>151</v>
      </c>
      <c r="G34" s="17" t="s">
        <v>166</v>
      </c>
      <c r="H34" s="18" t="s">
        <v>210</v>
      </c>
      <c r="I34" s="17">
        <v>2</v>
      </c>
    </row>
    <row r="35" spans="1:9" ht="15.75" thickBot="1" x14ac:dyDescent="0.3">
      <c r="A35" s="1"/>
      <c r="B35" s="21">
        <f>ROW(B35) - ROW($B$2)</f>
        <v>33</v>
      </c>
      <c r="C35" s="23" t="s">
        <v>11</v>
      </c>
      <c r="D35" s="15" t="s">
        <v>53</v>
      </c>
      <c r="E35" s="16" t="s">
        <v>101</v>
      </c>
      <c r="F35" s="16" t="s">
        <v>152</v>
      </c>
      <c r="G35" s="15" t="s">
        <v>166</v>
      </c>
      <c r="H35" s="16" t="s">
        <v>211</v>
      </c>
      <c r="I35" s="15">
        <v>1</v>
      </c>
    </row>
    <row r="36" spans="1:9" ht="15.75" thickBot="1" x14ac:dyDescent="0.3">
      <c r="A36" s="1"/>
      <c r="B36" s="21">
        <f t="shared" si="0"/>
        <v>34</v>
      </c>
      <c r="C36" s="23" t="s">
        <v>12</v>
      </c>
      <c r="D36" s="17" t="s">
        <v>54</v>
      </c>
      <c r="E36" s="18" t="s">
        <v>102</v>
      </c>
      <c r="F36" s="18" t="s">
        <v>120</v>
      </c>
      <c r="G36" s="17" t="s">
        <v>179</v>
      </c>
      <c r="H36" s="18" t="s">
        <v>120</v>
      </c>
      <c r="I36" s="17">
        <v>1</v>
      </c>
    </row>
    <row r="37" spans="1:9" ht="15.75" thickBot="1" x14ac:dyDescent="0.3">
      <c r="A37" s="1"/>
      <c r="B37" s="21">
        <f>ROW(B37) - ROW($B$2)</f>
        <v>35</v>
      </c>
      <c r="C37" s="22" t="s">
        <v>13</v>
      </c>
      <c r="D37" s="15" t="s">
        <v>55</v>
      </c>
      <c r="E37" s="16" t="s">
        <v>103</v>
      </c>
      <c r="F37" s="16" t="s">
        <v>153</v>
      </c>
      <c r="G37" s="15" t="s">
        <v>180</v>
      </c>
      <c r="H37" s="16" t="s">
        <v>153</v>
      </c>
      <c r="I37" s="15">
        <v>1</v>
      </c>
    </row>
    <row r="38" spans="1:9" ht="15.75" thickBot="1" x14ac:dyDescent="0.3">
      <c r="A38" s="1"/>
      <c r="B38" s="21">
        <f t="shared" si="0"/>
        <v>36</v>
      </c>
      <c r="C38" s="23" t="s">
        <v>13</v>
      </c>
      <c r="D38" s="17" t="s">
        <v>56</v>
      </c>
      <c r="E38" s="18" t="s">
        <v>104</v>
      </c>
      <c r="F38" s="18" t="s">
        <v>154</v>
      </c>
      <c r="G38" s="17" t="s">
        <v>180</v>
      </c>
      <c r="H38" s="18" t="s">
        <v>154</v>
      </c>
      <c r="I38" s="17">
        <v>1</v>
      </c>
    </row>
    <row r="39" spans="1:9" ht="24.75" thickBot="1" x14ac:dyDescent="0.3">
      <c r="A39" s="1"/>
      <c r="B39" s="21">
        <f>ROW(B39) - ROW($B$2)</f>
        <v>37</v>
      </c>
      <c r="C39" s="22" t="s">
        <v>13</v>
      </c>
      <c r="D39" s="15" t="s">
        <v>57</v>
      </c>
      <c r="E39" s="16" t="s">
        <v>105</v>
      </c>
      <c r="F39" s="16" t="s">
        <v>155</v>
      </c>
      <c r="G39" s="15" t="s">
        <v>181</v>
      </c>
      <c r="H39" s="16" t="s">
        <v>155</v>
      </c>
      <c r="I39" s="15">
        <v>1</v>
      </c>
    </row>
    <row r="40" spans="1:9" ht="15.75" thickBot="1" x14ac:dyDescent="0.3">
      <c r="A40" s="1"/>
      <c r="B40" s="21">
        <f t="shared" si="0"/>
        <v>38</v>
      </c>
      <c r="C40" s="23" t="s">
        <v>14</v>
      </c>
      <c r="D40" s="17" t="s">
        <v>58</v>
      </c>
      <c r="E40" s="18" t="s">
        <v>106</v>
      </c>
      <c r="F40" s="18" t="s">
        <v>156</v>
      </c>
      <c r="G40" s="17" t="s">
        <v>180</v>
      </c>
      <c r="H40" s="18" t="s">
        <v>156</v>
      </c>
      <c r="I40" s="17">
        <v>2</v>
      </c>
    </row>
    <row r="41" spans="1:9" ht="15.75" thickBot="1" x14ac:dyDescent="0.3">
      <c r="A41" s="1"/>
      <c r="B41" s="21">
        <f>ROW(B41) - ROW($B$2)</f>
        <v>39</v>
      </c>
      <c r="C41" s="22" t="s">
        <v>15</v>
      </c>
      <c r="D41" s="15" t="s">
        <v>59</v>
      </c>
      <c r="E41" s="16" t="s">
        <v>107</v>
      </c>
      <c r="F41" s="16" t="s">
        <v>121</v>
      </c>
      <c r="G41" s="15" t="s">
        <v>182</v>
      </c>
      <c r="H41" s="16" t="s">
        <v>121</v>
      </c>
      <c r="I41" s="15">
        <v>1</v>
      </c>
    </row>
    <row r="42" spans="1:9" ht="15.75" thickBot="1" x14ac:dyDescent="0.3">
      <c r="A42" s="1"/>
      <c r="B42" s="21">
        <f t="shared" si="0"/>
        <v>40</v>
      </c>
      <c r="C42" s="23" t="s">
        <v>16</v>
      </c>
      <c r="D42" s="17" t="s">
        <v>60</v>
      </c>
      <c r="E42" s="18" t="s">
        <v>108</v>
      </c>
      <c r="F42" s="18" t="s">
        <v>157</v>
      </c>
      <c r="G42" s="17" t="s">
        <v>183</v>
      </c>
      <c r="H42" s="18" t="s">
        <v>157</v>
      </c>
      <c r="I42" s="17">
        <v>1</v>
      </c>
    </row>
    <row r="43" spans="1:9" ht="15.75" thickBot="1" x14ac:dyDescent="0.3">
      <c r="A43" s="1"/>
      <c r="B43" s="21">
        <f>ROW(B43) - ROW($B$2)</f>
        <v>41</v>
      </c>
      <c r="C43" s="22" t="s">
        <v>13</v>
      </c>
      <c r="D43" s="15" t="s">
        <v>61</v>
      </c>
      <c r="E43" s="16" t="s">
        <v>109</v>
      </c>
      <c r="F43" s="16" t="s">
        <v>122</v>
      </c>
      <c r="G43" s="15" t="s">
        <v>182</v>
      </c>
      <c r="H43" s="16" t="s">
        <v>122</v>
      </c>
      <c r="I43" s="15">
        <v>4</v>
      </c>
    </row>
    <row r="44" spans="1:9" ht="15.75" thickBot="1" x14ac:dyDescent="0.3">
      <c r="A44" s="1"/>
      <c r="B44" s="21">
        <f t="shared" si="0"/>
        <v>42</v>
      </c>
      <c r="C44" s="23" t="s">
        <v>13</v>
      </c>
      <c r="D44" s="17" t="s">
        <v>62</v>
      </c>
      <c r="E44" s="18" t="s">
        <v>110</v>
      </c>
      <c r="F44" s="18" t="s">
        <v>158</v>
      </c>
      <c r="G44" s="17" t="s">
        <v>180</v>
      </c>
      <c r="H44" s="18" t="s">
        <v>158</v>
      </c>
      <c r="I44" s="17">
        <v>1</v>
      </c>
    </row>
    <row r="45" spans="1:9" ht="26.25" thickBot="1" x14ac:dyDescent="0.3">
      <c r="A45" s="1"/>
      <c r="B45" s="21">
        <f>ROW(B45) - ROW($B$2)</f>
        <v>43</v>
      </c>
      <c r="C45" s="22" t="s">
        <v>17</v>
      </c>
      <c r="D45" s="15" t="s">
        <v>63</v>
      </c>
      <c r="E45" s="16" t="s">
        <v>111</v>
      </c>
      <c r="F45" s="16" t="s">
        <v>159</v>
      </c>
      <c r="G45" s="15" t="s">
        <v>180</v>
      </c>
      <c r="H45" s="16" t="s">
        <v>159</v>
      </c>
      <c r="I45" s="15">
        <v>1</v>
      </c>
    </row>
    <row r="46" spans="1:9" ht="15.75" thickBot="1" x14ac:dyDescent="0.3">
      <c r="A46" s="1"/>
      <c r="B46" s="21">
        <f t="shared" si="0"/>
        <v>44</v>
      </c>
      <c r="C46" s="23" t="s">
        <v>18</v>
      </c>
      <c r="D46" s="17" t="s">
        <v>64</v>
      </c>
      <c r="E46" s="18" t="s">
        <v>112</v>
      </c>
      <c r="F46" s="18" t="s">
        <v>160</v>
      </c>
      <c r="G46" s="17" t="s">
        <v>180</v>
      </c>
      <c r="H46" s="18" t="s">
        <v>160</v>
      </c>
      <c r="I46" s="17">
        <v>1</v>
      </c>
    </row>
    <row r="47" spans="1:9" ht="15.75" thickBot="1" x14ac:dyDescent="0.3">
      <c r="A47" s="1"/>
      <c r="B47" s="21">
        <f>ROW(B47) - ROW($B$2)</f>
        <v>45</v>
      </c>
      <c r="C47" s="22" t="s">
        <v>13</v>
      </c>
      <c r="D47" s="15" t="s">
        <v>65</v>
      </c>
      <c r="E47" s="16" t="s">
        <v>113</v>
      </c>
      <c r="F47" s="16" t="s">
        <v>161</v>
      </c>
      <c r="G47" s="15" t="s">
        <v>180</v>
      </c>
      <c r="H47" s="16" t="s">
        <v>161</v>
      </c>
      <c r="I47" s="15">
        <v>1</v>
      </c>
    </row>
    <row r="48" spans="1:9" ht="36.75" thickBot="1" x14ac:dyDescent="0.3">
      <c r="A48" s="1"/>
      <c r="B48" s="21">
        <f t="shared" si="0"/>
        <v>46</v>
      </c>
      <c r="C48" s="22" t="s">
        <v>19</v>
      </c>
      <c r="D48" s="17" t="s">
        <v>66</v>
      </c>
      <c r="E48" s="18" t="s">
        <v>114</v>
      </c>
      <c r="F48" s="18" t="s">
        <v>162</v>
      </c>
      <c r="G48" s="17" t="s">
        <v>184</v>
      </c>
      <c r="H48" s="18" t="s">
        <v>162</v>
      </c>
      <c r="I48" s="17">
        <v>2</v>
      </c>
    </row>
    <row r="49" spans="1:9" ht="24.75" thickBot="1" x14ac:dyDescent="0.3">
      <c r="A49" s="1"/>
      <c r="B49" s="21">
        <f>ROW(B49) - ROW($B$2)</f>
        <v>47</v>
      </c>
      <c r="C49" s="22" t="s">
        <v>19</v>
      </c>
      <c r="D49" s="15" t="s">
        <v>67</v>
      </c>
      <c r="E49" s="16" t="s">
        <v>115</v>
      </c>
      <c r="F49" s="16" t="s">
        <v>163</v>
      </c>
      <c r="G49" s="15" t="s">
        <v>185</v>
      </c>
      <c r="H49" s="16" t="s">
        <v>212</v>
      </c>
      <c r="I49" s="15">
        <v>1</v>
      </c>
    </row>
    <row r="50" spans="1:9" x14ac:dyDescent="0.25">
      <c r="A50" s="1"/>
      <c r="B50" s="10"/>
      <c r="C50" s="19"/>
      <c r="D50" s="11"/>
      <c r="E50" s="12"/>
      <c r="F50" s="14"/>
      <c r="G50" s="13"/>
      <c r="H50" s="14"/>
      <c r="I50" s="14"/>
    </row>
    <row r="51" spans="1:9" ht="15.75" thickBot="1" x14ac:dyDescent="0.3">
      <c r="A51" s="1"/>
      <c r="B51" s="6"/>
      <c r="C51" s="20"/>
      <c r="D51" s="3"/>
      <c r="E51" s="4"/>
      <c r="F51" s="4"/>
      <c r="G51" s="4"/>
      <c r="H51" s="4"/>
      <c r="I51" s="4"/>
    </row>
  </sheetData>
  <mergeCells count="1">
    <mergeCell ref="H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 Cons Group</cp:lastModifiedBy>
  <dcterms:created xsi:type="dcterms:W3CDTF">2019-12-12T10:34:26Z</dcterms:created>
  <dcterms:modified xsi:type="dcterms:W3CDTF">2024-05-20T11:25:31Z</dcterms:modified>
</cp:coreProperties>
</file>