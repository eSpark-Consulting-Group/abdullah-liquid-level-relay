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abdullah-liquidlevelrelay\Design Files\LLR-05U (Advance Version)\Secondary Board\BOM\"/>
    </mc:Choice>
  </mc:AlternateContent>
  <xr:revisionPtr revIDLastSave="0" documentId="13_ncr:1_{3B130D8F-96CB-4DAD-9518-98632B98563C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7" i="1" l="1"/>
  <c r="B3" i="1"/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6" i="1"/>
  <c r="B5" i="1" l="1"/>
  <c r="B4" i="1"/>
</calcChain>
</file>

<file path=xl/sharedStrings.xml><?xml version="1.0" encoding="utf-8"?>
<sst xmlns="http://schemas.openxmlformats.org/spreadsheetml/2006/main" count="141" uniqueCount="109">
  <si>
    <t>#</t>
  </si>
  <si>
    <t>Item Type</t>
  </si>
  <si>
    <t>Capacitor</t>
  </si>
  <si>
    <t>Female Header</t>
  </si>
  <si>
    <t>LED</t>
  </si>
  <si>
    <t>Potentiometer</t>
  </si>
  <si>
    <t>Transistor</t>
  </si>
  <si>
    <t>Resistor</t>
  </si>
  <si>
    <t>Microprocessors</t>
  </si>
  <si>
    <t>IC</t>
  </si>
  <si>
    <t>Designator</t>
  </si>
  <si>
    <t>C2</t>
  </si>
  <si>
    <t>C3, C6</t>
  </si>
  <si>
    <t>C7, C8, C9</t>
  </si>
  <si>
    <t>J5</t>
  </si>
  <si>
    <t>LD1</t>
  </si>
  <si>
    <t>LD2, LD3, LD4</t>
  </si>
  <si>
    <t>PT1, PT2</t>
  </si>
  <si>
    <t>Q1, Q5, Q6</t>
  </si>
  <si>
    <t>Q3</t>
  </si>
  <si>
    <t>R2, R4, R15, R16, R17, R23, R27</t>
  </si>
  <si>
    <t>R3, R5, R6, R28</t>
  </si>
  <si>
    <t>R8, R9, R21</t>
  </si>
  <si>
    <t>R10, R22, R24</t>
  </si>
  <si>
    <t>R18, R19, R20</t>
  </si>
  <si>
    <t>R26</t>
  </si>
  <si>
    <t>U3</t>
  </si>
  <si>
    <t>VR1</t>
  </si>
  <si>
    <t>Description</t>
  </si>
  <si>
    <t>100uF 10V 55mA@120Hz ±20% SMD,D6.3xL5.4mm Aluminum Electrolytic Capacitors - SMD ROHS</t>
  </si>
  <si>
    <t>CAP CER 4.7UF 25V X5R 0603</t>
  </si>
  <si>
    <t>CAP CER 0.1UF 50V X7R 0603</t>
  </si>
  <si>
    <t>SMT Vertical Socket Header WR-PHD, Pitch 2.54 mm, Dual Row, 10 pins</t>
  </si>
  <si>
    <t>0805 普绿色 (Iv=26-75mcd(Typ) @IF=5mA)</t>
  </si>
  <si>
    <t>20mA 无色透明透镜 67mcd~195mcd -30℃~+85℃ 615nm~630nm 独立二极管 Red 130° 65mW 1.6V~2.6V 0805 Light Emitting Diodes (LED) ROHS</t>
  </si>
  <si>
    <t>20% 150mW 50kΩ - Variable Resistors/Potentiometers ROHS</t>
  </si>
  <si>
    <t>65V 300mW 200@2mA,5V 100mA NPN SOT-23 Bipolar Transistors - BJT ROHS</t>
  </si>
  <si>
    <t>300V 350mW 100@10mA,10V 300mA NPN SOT-23 Bipolar Transistors - BJT ROHS</t>
  </si>
  <si>
    <t>RES SMD 1K OHM 0.1% 1/10W 0603</t>
  </si>
  <si>
    <t>RES SMD 47K OHM 0.1% 1/10W 0603</t>
  </si>
  <si>
    <t>RES SMD 10K Ohm 1% 1/10W 0603</t>
  </si>
  <si>
    <t>100mW Thick Film Resistors 75V ±100ppm/℃ ±1% 330Ω 0603 Chip Resistor - Surface Mount ROHS</t>
  </si>
  <si>
    <t>RES SMD 3.3K OHM 0.1% 1/10W 0603</t>
  </si>
  <si>
    <t>250mW Thick Film Resistors 200V ±100ppm/℃ ±1% 2.2kΩ 1206 Chip Resistor - Surface Mount ROHS</t>
  </si>
  <si>
    <t>IC MCU 8BIT 3.5KB FLASH 14SOIC</t>
  </si>
  <si>
    <t>Pos 5V 0.1A 8-Pin SOP T/R</t>
  </si>
  <si>
    <t>Footprint</t>
  </si>
  <si>
    <t>RVT1A101M0605</t>
  </si>
  <si>
    <t>Cap-0603</t>
  </si>
  <si>
    <t>LED-0805</t>
  </si>
  <si>
    <t>PT06-M-V-503(50K)</t>
  </si>
  <si>
    <t>SOT-23</t>
  </si>
  <si>
    <t>Res-0603</t>
  </si>
  <si>
    <t>Res-1206</t>
  </si>
  <si>
    <t>SOIC-14</t>
  </si>
  <si>
    <t>SOP-8</t>
  </si>
  <si>
    <t>Manufacturer Part Number</t>
  </si>
  <si>
    <t>GRM188R61E475KE11D</t>
  </si>
  <si>
    <t>XL-2012SYGC</t>
  </si>
  <si>
    <t>NCD0805R1</t>
  </si>
  <si>
    <t>BC846B(1B)</t>
  </si>
  <si>
    <t>MMBTA42</t>
  </si>
  <si>
    <t>RT0603BRD071KL</t>
  </si>
  <si>
    <t>RT0603BRD0747KL</t>
  </si>
  <si>
    <t>RC0603FR-0710KL</t>
  </si>
  <si>
    <t>0603WAF3300T5E</t>
  </si>
  <si>
    <t>RT0603BRD073K3L</t>
  </si>
  <si>
    <t>1206W4F2201T5E</t>
  </si>
  <si>
    <t>PIC16F1823-I/SL</t>
  </si>
  <si>
    <t>78L05G-SO8-R</t>
  </si>
  <si>
    <t>Manufacturer</t>
  </si>
  <si>
    <t>ROQANG</t>
  </si>
  <si>
    <t>Murata</t>
  </si>
  <si>
    <t>Wurth Electronics</t>
  </si>
  <si>
    <t>XINGLIGHT</t>
  </si>
  <si>
    <t>FOSHAN Nationstar Optoelectronics</t>
  </si>
  <si>
    <t>BOCHEN</t>
  </si>
  <si>
    <t>ST(Semtech)</t>
  </si>
  <si>
    <t>Guangdong Hottech</t>
  </si>
  <si>
    <t>Yageo</t>
  </si>
  <si>
    <t>Royal Electronic Factory</t>
  </si>
  <si>
    <t>Uniroyal</t>
  </si>
  <si>
    <t>Microchip</t>
  </si>
  <si>
    <t>Unisonic</t>
  </si>
  <si>
    <t>100uF</t>
  </si>
  <si>
    <t>4.7uF</t>
  </si>
  <si>
    <t>0.1uF</t>
  </si>
  <si>
    <t>1K</t>
  </si>
  <si>
    <t>47K</t>
  </si>
  <si>
    <t>10K</t>
  </si>
  <si>
    <t>330R</t>
  </si>
  <si>
    <t>3.3k</t>
  </si>
  <si>
    <t>2.2K</t>
  </si>
  <si>
    <t>Quantity</t>
  </si>
  <si>
    <t>Remarks</t>
  </si>
  <si>
    <t>Value</t>
  </si>
  <si>
    <t>Custom</t>
  </si>
  <si>
    <t>-</t>
  </si>
  <si>
    <t>Alternate Link: https://www.aliexpress.us/item/3256803267239198.html?spm=a2g0o.store_pc_promotion.promoteRecommendProducts_11763439.1005003453553950&amp;gatewayAdapt=glo2usa4itemAdapt</t>
  </si>
  <si>
    <t>C1, C4, C5, C10, C11, C12</t>
  </si>
  <si>
    <t>CAP CER 10000PF 25V X7R 0402</t>
  </si>
  <si>
    <t>Cap-0402</t>
  </si>
  <si>
    <t>CC0402KRX7R8BB103</t>
  </si>
  <si>
    <t>10nF</t>
  </si>
  <si>
    <t>D1, D2</t>
  </si>
  <si>
    <t>Diode</t>
  </si>
  <si>
    <t>30V Dual 200mA 800mV@100mA SOT-23 Schottky Barrier Diodes (SBD) ROHS</t>
  </si>
  <si>
    <t>BAT54S</t>
  </si>
  <si>
    <t>JSMSEMI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</si>
</sst>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tabSelected="1" workbookViewId="0">
      <selection activeCell="D7" sqref="D7:J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9.285156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10</v>
      </c>
      <c r="E2" s="6" t="s">
        <v>28</v>
      </c>
      <c r="F2" s="5" t="s">
        <v>46</v>
      </c>
      <c r="G2" s="6" t="s">
        <v>56</v>
      </c>
      <c r="H2" s="5" t="s">
        <v>70</v>
      </c>
      <c r="I2" s="6" t="s">
        <v>95</v>
      </c>
      <c r="J2" s="5" t="s">
        <v>93</v>
      </c>
      <c r="K2" s="5" t="s">
        <v>94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99</v>
      </c>
      <c r="E3" s="8" t="s">
        <v>100</v>
      </c>
      <c r="F3" s="7" t="s">
        <v>101</v>
      </c>
      <c r="G3" s="8" t="s">
        <v>102</v>
      </c>
      <c r="H3" s="7" t="s">
        <v>79</v>
      </c>
      <c r="I3" s="8" t="s">
        <v>103</v>
      </c>
      <c r="J3" s="7">
        <v>6</v>
      </c>
      <c r="K3" s="7"/>
    </row>
    <row r="4" spans="1:11" ht="36.75" thickBot="1" x14ac:dyDescent="0.3">
      <c r="A4" s="1"/>
      <c r="B4" s="11">
        <f>ROW(B4) - ROW($B$2)</f>
        <v>2</v>
      </c>
      <c r="C4" s="12" t="s">
        <v>2</v>
      </c>
      <c r="D4" s="7" t="s">
        <v>11</v>
      </c>
      <c r="E4" s="8" t="s">
        <v>29</v>
      </c>
      <c r="F4" s="7" t="s">
        <v>96</v>
      </c>
      <c r="G4" s="8" t="s">
        <v>47</v>
      </c>
      <c r="H4" s="7" t="s">
        <v>71</v>
      </c>
      <c r="I4" s="8" t="s">
        <v>84</v>
      </c>
      <c r="J4" s="7">
        <v>1</v>
      </c>
      <c r="K4" s="7"/>
    </row>
    <row r="5" spans="1:11" ht="15.75" thickBot="1" x14ac:dyDescent="0.3">
      <c r="A5" s="1"/>
      <c r="B5" s="11">
        <f t="shared" ref="B5:B20" si="0">ROW(B5) - ROW($B$2)</f>
        <v>3</v>
      </c>
      <c r="C5" s="12" t="s">
        <v>2</v>
      </c>
      <c r="D5" s="9" t="s">
        <v>12</v>
      </c>
      <c r="E5" s="10" t="s">
        <v>30</v>
      </c>
      <c r="F5" s="9" t="s">
        <v>48</v>
      </c>
      <c r="G5" s="10" t="s">
        <v>57</v>
      </c>
      <c r="H5" s="9" t="s">
        <v>72</v>
      </c>
      <c r="I5" s="10" t="s">
        <v>85</v>
      </c>
      <c r="J5" s="9">
        <v>2</v>
      </c>
      <c r="K5" s="9"/>
    </row>
    <row r="6" spans="1:11" ht="15.75" thickBot="1" x14ac:dyDescent="0.3">
      <c r="A6" s="1"/>
      <c r="B6" s="11">
        <f>ROW(B6) - ROW($B$2)</f>
        <v>4</v>
      </c>
      <c r="C6" s="12" t="s">
        <v>2</v>
      </c>
      <c r="D6" s="7" t="s">
        <v>13</v>
      </c>
      <c r="E6" s="8" t="s">
        <v>31</v>
      </c>
      <c r="F6" s="7" t="s">
        <v>48</v>
      </c>
      <c r="G6" s="8"/>
      <c r="H6" s="7"/>
      <c r="I6" s="8" t="s">
        <v>86</v>
      </c>
      <c r="J6" s="7">
        <v>3</v>
      </c>
      <c r="K6" s="7"/>
    </row>
    <row r="7" spans="1:11" ht="36.75" thickBot="1" x14ac:dyDescent="0.3">
      <c r="A7" s="1"/>
      <c r="B7" s="11">
        <f>ROW(B7) - ROW($B$2)</f>
        <v>5</v>
      </c>
      <c r="C7" s="12" t="s">
        <v>105</v>
      </c>
      <c r="D7" s="7" t="s">
        <v>104</v>
      </c>
      <c r="E7" s="8" t="s">
        <v>106</v>
      </c>
      <c r="F7" s="7" t="s">
        <v>51</v>
      </c>
      <c r="G7" s="8" t="s">
        <v>107</v>
      </c>
      <c r="H7" s="7" t="s">
        <v>108</v>
      </c>
      <c r="I7" s="8" t="s">
        <v>107</v>
      </c>
      <c r="J7" s="7">
        <v>2</v>
      </c>
      <c r="K7" s="7"/>
    </row>
    <row r="8" spans="1:11" ht="84.75" thickBot="1" x14ac:dyDescent="0.3">
      <c r="A8" s="1"/>
      <c r="B8" s="11">
        <f t="shared" si="0"/>
        <v>6</v>
      </c>
      <c r="C8" s="13" t="s">
        <v>3</v>
      </c>
      <c r="D8" s="9" t="s">
        <v>14</v>
      </c>
      <c r="E8" s="10" t="s">
        <v>32</v>
      </c>
      <c r="F8" s="9" t="s">
        <v>96</v>
      </c>
      <c r="G8" s="10">
        <v>610010243021</v>
      </c>
      <c r="H8" s="9" t="s">
        <v>73</v>
      </c>
      <c r="I8" s="10" t="s">
        <v>97</v>
      </c>
      <c r="J8" s="9">
        <v>1</v>
      </c>
      <c r="K8" s="9" t="s">
        <v>98</v>
      </c>
    </row>
    <row r="9" spans="1:11" ht="24.75" thickBot="1" x14ac:dyDescent="0.3">
      <c r="A9" s="1"/>
      <c r="B9" s="11">
        <f>ROW(B9) - ROW($B$2)</f>
        <v>7</v>
      </c>
      <c r="C9" s="12" t="s">
        <v>4</v>
      </c>
      <c r="D9" s="7" t="s">
        <v>15</v>
      </c>
      <c r="E9" s="8" t="s">
        <v>33</v>
      </c>
      <c r="F9" s="7" t="s">
        <v>49</v>
      </c>
      <c r="G9" s="8" t="s">
        <v>58</v>
      </c>
      <c r="H9" s="7" t="s">
        <v>74</v>
      </c>
      <c r="I9" s="8" t="s">
        <v>97</v>
      </c>
      <c r="J9" s="7">
        <v>1</v>
      </c>
      <c r="K9" s="7"/>
    </row>
    <row r="10" spans="1:11" ht="48.75" thickBot="1" x14ac:dyDescent="0.3">
      <c r="A10" s="1"/>
      <c r="B10" s="11">
        <f t="shared" si="0"/>
        <v>8</v>
      </c>
      <c r="C10" s="13" t="s">
        <v>4</v>
      </c>
      <c r="D10" s="9" t="s">
        <v>16</v>
      </c>
      <c r="E10" s="10" t="s">
        <v>34</v>
      </c>
      <c r="F10" s="9" t="s">
        <v>49</v>
      </c>
      <c r="G10" s="10" t="s">
        <v>59</v>
      </c>
      <c r="H10" s="9" t="s">
        <v>75</v>
      </c>
      <c r="I10" s="10" t="s">
        <v>97</v>
      </c>
      <c r="J10" s="9">
        <v>3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5</v>
      </c>
      <c r="D11" s="7" t="s">
        <v>17</v>
      </c>
      <c r="E11" s="8" t="s">
        <v>35</v>
      </c>
      <c r="F11" s="7" t="s">
        <v>96</v>
      </c>
      <c r="G11" s="8" t="s">
        <v>50</v>
      </c>
      <c r="H11" s="7" t="s">
        <v>76</v>
      </c>
      <c r="I11" s="8" t="s">
        <v>97</v>
      </c>
      <c r="J11" s="7">
        <v>2</v>
      </c>
      <c r="K11" s="7"/>
    </row>
    <row r="12" spans="1:11" ht="36.75" thickBot="1" x14ac:dyDescent="0.3">
      <c r="A12" s="1"/>
      <c r="B12" s="11">
        <f t="shared" si="0"/>
        <v>10</v>
      </c>
      <c r="C12" s="13" t="s">
        <v>6</v>
      </c>
      <c r="D12" s="9" t="s">
        <v>18</v>
      </c>
      <c r="E12" s="10" t="s">
        <v>36</v>
      </c>
      <c r="F12" s="9" t="s">
        <v>51</v>
      </c>
      <c r="G12" s="10" t="s">
        <v>60</v>
      </c>
      <c r="H12" s="9" t="s">
        <v>77</v>
      </c>
      <c r="I12" s="10" t="s">
        <v>97</v>
      </c>
      <c r="J12" s="9">
        <v>3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6</v>
      </c>
      <c r="D13" s="7" t="s">
        <v>19</v>
      </c>
      <c r="E13" s="8" t="s">
        <v>37</v>
      </c>
      <c r="F13" s="7" t="s">
        <v>51</v>
      </c>
      <c r="G13" s="8" t="s">
        <v>61</v>
      </c>
      <c r="H13" s="7" t="s">
        <v>78</v>
      </c>
      <c r="I13" s="8" t="s">
        <v>97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7</v>
      </c>
      <c r="D14" s="9" t="s">
        <v>20</v>
      </c>
      <c r="E14" s="10" t="s">
        <v>38</v>
      </c>
      <c r="F14" s="9" t="s">
        <v>52</v>
      </c>
      <c r="G14" s="10" t="s">
        <v>62</v>
      </c>
      <c r="H14" s="9" t="s">
        <v>79</v>
      </c>
      <c r="I14" s="10" t="s">
        <v>87</v>
      </c>
      <c r="J14" s="9">
        <v>7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7</v>
      </c>
      <c r="D15" s="7" t="s">
        <v>21</v>
      </c>
      <c r="E15" s="8" t="s">
        <v>39</v>
      </c>
      <c r="F15" s="7" t="s">
        <v>52</v>
      </c>
      <c r="G15" s="8" t="s">
        <v>63</v>
      </c>
      <c r="H15" s="7" t="s">
        <v>79</v>
      </c>
      <c r="I15" s="8" t="s">
        <v>88</v>
      </c>
      <c r="J15" s="7">
        <v>4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7</v>
      </c>
      <c r="D16" s="9" t="s">
        <v>22</v>
      </c>
      <c r="E16" s="10" t="s">
        <v>40</v>
      </c>
      <c r="F16" s="9" t="s">
        <v>52</v>
      </c>
      <c r="G16" s="10" t="s">
        <v>64</v>
      </c>
      <c r="H16" s="9" t="s">
        <v>79</v>
      </c>
      <c r="I16" s="10" t="s">
        <v>89</v>
      </c>
      <c r="J16" s="9">
        <v>3</v>
      </c>
      <c r="K16" s="9"/>
    </row>
    <row r="17" spans="1:11" ht="36.75" thickBot="1" x14ac:dyDescent="0.3">
      <c r="A17" s="1"/>
      <c r="B17" s="11">
        <f>ROW(B17) - ROW($B$2)</f>
        <v>15</v>
      </c>
      <c r="C17" s="12" t="s">
        <v>7</v>
      </c>
      <c r="D17" s="7" t="s">
        <v>23</v>
      </c>
      <c r="E17" s="8" t="s">
        <v>41</v>
      </c>
      <c r="F17" s="7" t="s">
        <v>52</v>
      </c>
      <c r="G17" s="8" t="s">
        <v>65</v>
      </c>
      <c r="H17" s="7" t="s">
        <v>80</v>
      </c>
      <c r="I17" s="8" t="s">
        <v>90</v>
      </c>
      <c r="J17" s="7">
        <v>3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7</v>
      </c>
      <c r="D18" s="9" t="s">
        <v>24</v>
      </c>
      <c r="E18" s="10" t="s">
        <v>42</v>
      </c>
      <c r="F18" s="9" t="s">
        <v>52</v>
      </c>
      <c r="G18" s="10" t="s">
        <v>66</v>
      </c>
      <c r="H18" s="9" t="s">
        <v>79</v>
      </c>
      <c r="I18" s="10" t="s">
        <v>91</v>
      </c>
      <c r="J18" s="9">
        <v>3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7</v>
      </c>
      <c r="D19" s="7" t="s">
        <v>25</v>
      </c>
      <c r="E19" s="8" t="s">
        <v>43</v>
      </c>
      <c r="F19" s="7" t="s">
        <v>53</v>
      </c>
      <c r="G19" s="8" t="s">
        <v>67</v>
      </c>
      <c r="H19" s="7" t="s">
        <v>81</v>
      </c>
      <c r="I19" s="8" t="s">
        <v>92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8</v>
      </c>
      <c r="D20" s="9" t="s">
        <v>26</v>
      </c>
      <c r="E20" s="10" t="s">
        <v>44</v>
      </c>
      <c r="F20" s="9" t="s">
        <v>54</v>
      </c>
      <c r="G20" s="10" t="s">
        <v>68</v>
      </c>
      <c r="H20" s="9" t="s">
        <v>82</v>
      </c>
      <c r="I20" s="10" t="s">
        <v>97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9</v>
      </c>
      <c r="D21" s="7" t="s">
        <v>27</v>
      </c>
      <c r="E21" s="8" t="s">
        <v>45</v>
      </c>
      <c r="F21" s="7" t="s">
        <v>55</v>
      </c>
      <c r="G21" s="8" t="s">
        <v>69</v>
      </c>
      <c r="H21" s="7" t="s">
        <v>83</v>
      </c>
      <c r="I21" s="8" t="s">
        <v>97</v>
      </c>
      <c r="J21" s="7">
        <v>1</v>
      </c>
      <c r="K21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2024-07-04T11:31:47Z</dcterms:modified>
</cp:coreProperties>
</file>