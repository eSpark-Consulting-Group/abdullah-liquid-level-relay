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abdullah-liquidlevelrelay\Design Files\LLR-05U (Advance Version)\Secondary Board\BOM\"/>
    </mc:Choice>
  </mc:AlternateContent>
  <xr:revisionPtr revIDLastSave="0" documentId="13_ncr:1_{6850ED96-564E-4B00-AAC6-9F5B9A3E21C0}" xr6:coauthVersionLast="36" xr6:coauthVersionMax="36" xr10:uidLastSave="{00000000-0000-0000-0000-000000000000}"/>
  <bookViews>
    <workbookView xWindow="28680" yWindow="-120" windowWidth="29040" windowHeight="15840" activeTab="2" xr2:uid="{00000000-000D-0000-FFFF-FFFF00000000}"/>
  </bookViews>
  <sheets>
    <sheet name="5 Boards" sheetId="1" r:id="rId1"/>
    <sheet name="1000 Boards" sheetId="2" r:id="rId2"/>
    <sheet name="5 Boards Low Cost" sheetId="3" r:id="rId3"/>
  </sheets>
  <calcPr calcId="191029"/>
</workbook>
</file>

<file path=xl/calcChain.xml><?xml version="1.0" encoding="utf-8"?>
<calcChain xmlns="http://schemas.openxmlformats.org/spreadsheetml/2006/main">
  <c r="Q24" i="3" l="1"/>
  <c r="M24" i="3"/>
  <c r="B24" i="3"/>
  <c r="Q23" i="3"/>
  <c r="M23" i="3"/>
  <c r="B23" i="3"/>
  <c r="Q22" i="3"/>
  <c r="M22" i="3"/>
  <c r="B22" i="3"/>
  <c r="Q21" i="3"/>
  <c r="M21" i="3"/>
  <c r="B21" i="3"/>
  <c r="Q20" i="3"/>
  <c r="M20" i="3"/>
  <c r="B20" i="3"/>
  <c r="Q19" i="3"/>
  <c r="M19" i="3"/>
  <c r="B19" i="3"/>
  <c r="Q18" i="3"/>
  <c r="M18" i="3"/>
  <c r="B18" i="3"/>
  <c r="Q17" i="3"/>
  <c r="M17" i="3"/>
  <c r="B17" i="3"/>
  <c r="Q16" i="3"/>
  <c r="M16" i="3"/>
  <c r="B16" i="3"/>
  <c r="Q15" i="3"/>
  <c r="M15" i="3"/>
  <c r="B15" i="3"/>
  <c r="Q14" i="3"/>
  <c r="M14" i="3"/>
  <c r="B14" i="3"/>
  <c r="Q13" i="3"/>
  <c r="M13" i="3"/>
  <c r="B13" i="3"/>
  <c r="Q12" i="3"/>
  <c r="M12" i="3"/>
  <c r="B12" i="3"/>
  <c r="Q11" i="3"/>
  <c r="M11" i="3"/>
  <c r="B11" i="3"/>
  <c r="Q10" i="3"/>
  <c r="M10" i="3"/>
  <c r="B10" i="3"/>
  <c r="Q9" i="3"/>
  <c r="M9" i="3"/>
  <c r="B9" i="3"/>
  <c r="Q8" i="3"/>
  <c r="M8" i="3"/>
  <c r="B8" i="3"/>
  <c r="Q25" i="3" l="1"/>
  <c r="Q26" i="3" s="1"/>
  <c r="Q26" i="2"/>
  <c r="Q24" i="2"/>
  <c r="M24" i="2"/>
  <c r="B24" i="2"/>
  <c r="Q23" i="2"/>
  <c r="M23" i="2"/>
  <c r="B23" i="2"/>
  <c r="Q22" i="2"/>
  <c r="M22" i="2"/>
  <c r="B22" i="2"/>
  <c r="Q21" i="2"/>
  <c r="M21" i="2"/>
  <c r="B21" i="2"/>
  <c r="Q20" i="2"/>
  <c r="M20" i="2"/>
  <c r="B20" i="2"/>
  <c r="Q19" i="2"/>
  <c r="M19" i="2"/>
  <c r="B19" i="2"/>
  <c r="Q18" i="2"/>
  <c r="M18" i="2"/>
  <c r="B18" i="2"/>
  <c r="Q17" i="2"/>
  <c r="M17" i="2"/>
  <c r="B17" i="2"/>
  <c r="Q16" i="2"/>
  <c r="M16" i="2"/>
  <c r="B16" i="2"/>
  <c r="Q15" i="2"/>
  <c r="M15" i="2"/>
  <c r="B15" i="2"/>
  <c r="Q14" i="2"/>
  <c r="M14" i="2"/>
  <c r="B14" i="2"/>
  <c r="Q13" i="2"/>
  <c r="M13" i="2"/>
  <c r="B13" i="2"/>
  <c r="Q12" i="2"/>
  <c r="M12" i="2"/>
  <c r="B12" i="2"/>
  <c r="Q11" i="2"/>
  <c r="M11" i="2"/>
  <c r="B11" i="2"/>
  <c r="Q10" i="2"/>
  <c r="M10" i="2"/>
  <c r="B10" i="2"/>
  <c r="Q9" i="2"/>
  <c r="M9" i="2"/>
  <c r="B9" i="2"/>
  <c r="Q8" i="2"/>
  <c r="M8" i="2"/>
  <c r="B8" i="2"/>
  <c r="Q25" i="1"/>
  <c r="Q25" i="2" l="1"/>
  <c r="Q24" i="1" l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26" i="1" l="1"/>
  <c r="Q9" i="1"/>
  <c r="Q8" i="1"/>
  <c r="M9" i="1"/>
  <c r="M8" i="1"/>
  <c r="B9" i="1"/>
  <c r="B8" i="1"/>
</calcChain>
</file>

<file path=xl/sharedStrings.xml><?xml version="1.0" encoding="utf-8"?>
<sst xmlns="http://schemas.openxmlformats.org/spreadsheetml/2006/main" count="503" uniqueCount="137">
  <si>
    <t>Component list</t>
  </si>
  <si>
    <t>Project:</t>
  </si>
  <si>
    <t>#</t>
  </si>
  <si>
    <t xml:space="preserve">Total Component Cost </t>
  </si>
  <si>
    <t>Single Board Cost</t>
  </si>
  <si>
    <t>Bill of Materials for Project [LLR-05U (Secondary-Board).PrjPcb] (No PCB Document Selected)</t>
  </si>
  <si>
    <t>LLR-05U (Secondary-Board).PrjPcb</t>
  </si>
  <si>
    <t>Item Type</t>
  </si>
  <si>
    <t>Capacitor</t>
  </si>
  <si>
    <t>Male</t>
  </si>
  <si>
    <t>LED</t>
  </si>
  <si>
    <t>Potentiometer</t>
  </si>
  <si>
    <t>Transistor</t>
  </si>
  <si>
    <t>Resistor</t>
  </si>
  <si>
    <t>Microprocessors</t>
  </si>
  <si>
    <t>IC</t>
  </si>
  <si>
    <t>Designator</t>
  </si>
  <si>
    <t>C2</t>
  </si>
  <si>
    <t>C3, C6</t>
  </si>
  <si>
    <t>C7, C8, C9</t>
  </si>
  <si>
    <t>J5</t>
  </si>
  <si>
    <t>LD1</t>
  </si>
  <si>
    <t>LD2, LD3, LD4</t>
  </si>
  <si>
    <t>PT1, PT2</t>
  </si>
  <si>
    <t>Q1, Q5, Q6</t>
  </si>
  <si>
    <t>Q3</t>
  </si>
  <si>
    <t>R2, R4, R15, R16, R17, R23, R27</t>
  </si>
  <si>
    <t>R3, R5, R6, R28</t>
  </si>
  <si>
    <t>R8, R9, R21</t>
  </si>
  <si>
    <t>R10, R22, R24</t>
  </si>
  <si>
    <t>R18, R19, R20</t>
  </si>
  <si>
    <t>R26</t>
  </si>
  <si>
    <t>U3</t>
  </si>
  <si>
    <t>VR1</t>
  </si>
  <si>
    <t>Description</t>
  </si>
  <si>
    <t>100uF 10V 55mA@120Hz ±20% SMD,D6.3xL5.4mm Aluminum Electrolytic Capacitors - SMD ROHS</t>
  </si>
  <si>
    <t>CAP CER 4.7UF 25V X5R 0603</t>
  </si>
  <si>
    <t>CAP CER 0.1UF 50V X7R 0603</t>
  </si>
  <si>
    <t>2.54mm 2.54mm 双排 Gold 2.5A 10P Brass -55℃~+105℃ 220℃@10S Brick nogging 2x5P 8.5mm Top Square Holes SMD,P=2.54mm Female Headers ROHS</t>
  </si>
  <si>
    <t>0805 普绿色 (Iv=26-75mcd(Typ) @IF=5mA)</t>
  </si>
  <si>
    <t>20mA 无色透明透镜 67mcd~195mcd -30℃~+85℃ 615nm~630nm 独立二极管 Red 130° 65mW 1.6V~2.6V 0805 Light Emitting Diodes (LED) ROHS</t>
  </si>
  <si>
    <t>TRIMMER 10K OHM 0.1W J LEAD TOP</t>
  </si>
  <si>
    <t>65V 300mW 200@2mA,5V 100mA NPN SOT-23 Bipolar Transistors - BJT ROHS</t>
  </si>
  <si>
    <t>300V 350mW 100@10mA,10V 300mA NPN SOT-23 Bipolar Transistors - BJT ROHS</t>
  </si>
  <si>
    <t>RES SMD 1K OHM 0.1% 1/10W 0603</t>
  </si>
  <si>
    <t>RES SMD 47K OHM 0.1% 1/10W 0603</t>
  </si>
  <si>
    <t>RES SMD 10K Ohm 1% 1/10W 0603</t>
  </si>
  <si>
    <t>100mW Thick Film Resistors 75V ±100ppm/℃ ±1% 330Ω 0603 Chip Resistor - Surface Mount ROHS</t>
  </si>
  <si>
    <t>RES SMD 3.3K OHM 0.1% 1/10W 0603</t>
  </si>
  <si>
    <t>250mW Thick Film Resistors 200V ±100ppm/℃ ±1% 2.2kΩ 1206 Chip Resistor - Surface Mount ROHS</t>
  </si>
  <si>
    <t>IC MCU 8BIT 3.5KB FLASH 14SOIC</t>
  </si>
  <si>
    <t>Pos 5V 0.1A 8-Pin SOP T/R</t>
  </si>
  <si>
    <t>Footprint</t>
  </si>
  <si>
    <t>RVT1A101M0605</t>
  </si>
  <si>
    <t>Cap-0603</t>
  </si>
  <si>
    <t>C843271</t>
  </si>
  <si>
    <t>LED-0805</t>
  </si>
  <si>
    <t>TC33X-2-103E_</t>
  </si>
  <si>
    <t>SOT-23</t>
  </si>
  <si>
    <t>Res-0603</t>
  </si>
  <si>
    <t>Res-1206</t>
  </si>
  <si>
    <t>SOIC-14</t>
  </si>
  <si>
    <t>SOP-8</t>
  </si>
  <si>
    <t>Manufacturer Part Number</t>
  </si>
  <si>
    <t>GRM188R61E475KE11D</t>
  </si>
  <si>
    <t>2.54-2*5P</t>
  </si>
  <si>
    <t>XL-2012SYGC</t>
  </si>
  <si>
    <t>NCD0805R1</t>
  </si>
  <si>
    <t>TC33X-2-103E</t>
  </si>
  <si>
    <t>BC846B(1B)</t>
  </si>
  <si>
    <t>MMBTA42</t>
  </si>
  <si>
    <t>RT0603BRD071KL</t>
  </si>
  <si>
    <t>RT0603BRD0747KL</t>
  </si>
  <si>
    <t>RC0603FR-0710KL</t>
  </si>
  <si>
    <t>0603WAF3300T5E</t>
  </si>
  <si>
    <t>RT0603BRD073K3L</t>
  </si>
  <si>
    <t>1206W4F2201T5E</t>
  </si>
  <si>
    <t>PIC16F1823-I/SL</t>
  </si>
  <si>
    <t>78L05G-SO8-R</t>
  </si>
  <si>
    <t>Manufacturer</t>
  </si>
  <si>
    <t>ROQANG</t>
  </si>
  <si>
    <t>Murata</t>
  </si>
  <si>
    <t>BOOMELE(BOOM Precision Elec)</t>
  </si>
  <si>
    <t>XINGLIGHT</t>
  </si>
  <si>
    <t>FOSHAN Nationstar Optoelectronics</t>
  </si>
  <si>
    <t>Bourns</t>
  </si>
  <si>
    <t>ST(Semtech)</t>
  </si>
  <si>
    <t>Guangdong Hottech</t>
  </si>
  <si>
    <t>Yageo</t>
  </si>
  <si>
    <t>Royal Electronic Factory</t>
  </si>
  <si>
    <t>Uniroyal</t>
  </si>
  <si>
    <t>Microchip</t>
  </si>
  <si>
    <t>Unisonic</t>
  </si>
  <si>
    <t>LCSC Part Number</t>
  </si>
  <si>
    <t>C72474</t>
  </si>
  <si>
    <t>C90057</t>
  </si>
  <si>
    <t>C307348</t>
  </si>
  <si>
    <t>C965816</t>
  </si>
  <si>
    <t>C84256</t>
  </si>
  <si>
    <t>C719176</t>
  </si>
  <si>
    <t>C118727</t>
  </si>
  <si>
    <t>C181172</t>
  </si>
  <si>
    <t>C110776</t>
  </si>
  <si>
    <t>C326725</t>
  </si>
  <si>
    <t>C98220</t>
  </si>
  <si>
    <t>C23138</t>
  </si>
  <si>
    <t>C309653</t>
  </si>
  <si>
    <t>C17948</t>
  </si>
  <si>
    <t>-</t>
  </si>
  <si>
    <t>Comment</t>
  </si>
  <si>
    <t>100uF</t>
  </si>
  <si>
    <t>4.7uF</t>
  </si>
  <si>
    <t>0.1uF</t>
  </si>
  <si>
    <t>Green-Yellow</t>
  </si>
  <si>
    <t>RED</t>
  </si>
  <si>
    <t>47K (???)</t>
  </si>
  <si>
    <t>1K</t>
  </si>
  <si>
    <t>47K</t>
  </si>
  <si>
    <t>10K</t>
  </si>
  <si>
    <t>330R</t>
  </si>
  <si>
    <t>3.3k</t>
  </si>
  <si>
    <t>2.2K</t>
  </si>
  <si>
    <t>Quantity</t>
  </si>
  <si>
    <t>Alternate Part Number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</si>
  <si>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</si>
  <si>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</si>
  <si>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</si>
  <si>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</si>
  <si>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</si>
  <si>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</si>
  <si>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</si>
  <si>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LCSC</t>
  </si>
  <si>
    <t>Chipsmall</t>
  </si>
  <si>
    <t>Quantity (1000 Boards)</t>
  </si>
  <si>
    <t>MOQ (1000 Boards)</t>
  </si>
  <si>
    <t>Unit Cost (1000 Boards)</t>
  </si>
  <si>
    <t>Total Cost (1000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</si>
</sst>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3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name val="Calibri"/>
      <charset val="134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5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7" fillId="3" borderId="8" xfId="0" applyFont="1" applyFill="1" applyBorder="1" applyAlignment="1">
      <alignment vertical="center"/>
    </xf>
    <xf numFmtId="0" fontId="12" fillId="3" borderId="7" xfId="0" applyFont="1" applyFill="1" applyBorder="1" applyAlignment="1">
      <alignment vertical="center"/>
    </xf>
    <xf numFmtId="0" fontId="13" fillId="3" borderId="8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3" xfId="0" applyFont="1" applyFill="1" applyBorder="1" applyAlignment="1">
      <alignment horizontal="center"/>
    </xf>
    <xf numFmtId="0" fontId="15" fillId="4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 wrapText="1"/>
    </xf>
    <xf numFmtId="165" fontId="16" fillId="2" borderId="10" xfId="0" applyNumberFormat="1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166" fontId="13" fillId="3" borderId="9" xfId="0" quotePrefix="1" applyNumberFormat="1" applyFont="1" applyFill="1" applyBorder="1" applyAlignment="1">
      <alignment horizontal="center" vertical="center" wrapText="1"/>
    </xf>
    <xf numFmtId="166" fontId="13" fillId="3" borderId="14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 vertical="center" wrapText="1"/>
    </xf>
    <xf numFmtId="165" fontId="16" fillId="2" borderId="11" xfId="0" applyNumberFormat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8" fillId="3" borderId="0" xfId="0" applyFont="1" applyFill="1" applyBorder="1"/>
    <xf numFmtId="0" fontId="11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10" fillId="3" borderId="0" xfId="0" applyFont="1" applyFill="1" applyBorder="1"/>
    <xf numFmtId="0" fontId="11" fillId="3" borderId="0" xfId="0" applyFont="1" applyFill="1" applyBorder="1"/>
    <xf numFmtId="0" fontId="11" fillId="3" borderId="8" xfId="0" applyFont="1" applyFill="1" applyBorder="1"/>
    <xf numFmtId="0" fontId="8" fillId="3" borderId="8" xfId="0" applyFont="1" applyFill="1" applyBorder="1"/>
    <xf numFmtId="0" fontId="13" fillId="3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/>
    </xf>
    <xf numFmtId="0" fontId="14" fillId="3" borderId="0" xfId="0" applyFont="1" applyFill="1" applyBorder="1"/>
    <xf numFmtId="0" fontId="9" fillId="3" borderId="0" xfId="0" applyFont="1" applyFill="1" applyBorder="1"/>
    <xf numFmtId="0" fontId="5" fillId="3" borderId="0" xfId="0" applyFont="1" applyFill="1" applyBorder="1" applyAlignment="1">
      <alignment horizontal="center"/>
    </xf>
    <xf numFmtId="164" fontId="11" fillId="3" borderId="0" xfId="0" applyNumberFormat="1" applyFont="1" applyFill="1" applyBorder="1" applyAlignment="1">
      <alignment horizontal="left"/>
    </xf>
    <xf numFmtId="0" fontId="19" fillId="0" borderId="0" xfId="0" applyFont="1"/>
    <xf numFmtId="0" fontId="13" fillId="3" borderId="0" xfId="0" applyFont="1" applyFill="1" applyBorder="1" applyAlignment="1">
      <alignment horizontal="center"/>
    </xf>
    <xf numFmtId="0" fontId="13" fillId="3" borderId="8" xfId="0" quotePrefix="1" applyFont="1" applyFill="1" applyBorder="1" applyAlignment="1">
      <alignment vertical="center"/>
    </xf>
    <xf numFmtId="0" fontId="10" fillId="3" borderId="8" xfId="0" quotePrefix="1" applyFont="1" applyFill="1" applyBorder="1" applyAlignment="1">
      <alignment horizontal="left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2" fillId="2" borderId="10" xfId="1" applyFill="1" applyBorder="1" applyAlignment="1">
      <alignment horizontal="center" vertical="center" wrapText="1"/>
    </xf>
    <xf numFmtId="0" fontId="22" fillId="2" borderId="11" xfId="1" applyFill="1" applyBorder="1" applyAlignment="1">
      <alignment horizontal="center" vertical="center" wrapText="1"/>
    </xf>
    <xf numFmtId="165" fontId="21" fillId="2" borderId="10" xfId="0" applyNumberFormat="1" applyFont="1" applyFill="1" applyBorder="1" applyAlignment="1">
      <alignment horizontal="center" vertical="center" wrapText="1"/>
    </xf>
    <xf numFmtId="165" fontId="21" fillId="2" borderId="1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0" fillId="3" borderId="13" xfId="0" applyFont="1" applyFill="1" applyBorder="1" applyAlignment="1" applyProtection="1">
      <alignment horizontal="center" vertical="top"/>
      <protection locked="0"/>
    </xf>
    <xf numFmtId="0" fontId="20" fillId="3" borderId="8" xfId="0" applyFont="1" applyFill="1" applyBorder="1" applyAlignment="1" applyProtection="1">
      <alignment horizontal="center" vertical="top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38100</xdr:colOff>
      <xdr:row>1</xdr:row>
      <xdr:rowOff>57150</xdr:rowOff>
    </xdr:from>
    <xdr:to>
      <xdr:col>18</xdr:col>
      <xdr:colOff>1752600</xdr:colOff>
      <xdr:row>5</xdr:row>
      <xdr:rowOff>161033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22325" y="257175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38100</xdr:colOff>
      <xdr:row>1</xdr:row>
      <xdr:rowOff>57150</xdr:rowOff>
    </xdr:from>
    <xdr:to>
      <xdr:col>18</xdr:col>
      <xdr:colOff>1752600</xdr:colOff>
      <xdr:row>7</xdr:row>
      <xdr:rowOff>18158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F8F426-A41E-40FA-9C8A-AFB6D5871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812750" y="257175"/>
          <a:ext cx="1714500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38100</xdr:colOff>
      <xdr:row>1</xdr:row>
      <xdr:rowOff>57150</xdr:rowOff>
    </xdr:from>
    <xdr:to>
      <xdr:col>18</xdr:col>
      <xdr:colOff>1752600</xdr:colOff>
      <xdr:row>7</xdr:row>
      <xdr:rowOff>18158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043C43-CCB3-45D4-B258-EDE4196EE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812750" y="257175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Bipolar-Transistors-BJT_Guangdong-Hottech-MMBTA42_C181172.html" TargetMode="External"/><Relationship Id="rId13" Type="http://schemas.openxmlformats.org/officeDocument/2006/relationships/hyperlink" Target="https://www.lcsc.com/product-detail/Chip-Resistor-Surface-Mount_YAGEO-RT0603BRD073K3L_C309653.html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www.lcsc.com/product-detail/Multilayer-Ceramic-Capacitors-MLCC-SMD-SMT_Samsung-Electro-Mechanics-CL10B104KB8WPNC_C307348.html" TargetMode="External"/><Relationship Id="rId7" Type="http://schemas.openxmlformats.org/officeDocument/2006/relationships/hyperlink" Target="https://www.lcsc.com/product-detail/Bipolar-Transistors-BJT_ST-Semtech-BC846B-1B_C118727.html" TargetMode="External"/><Relationship Id="rId12" Type="http://schemas.openxmlformats.org/officeDocument/2006/relationships/hyperlink" Target="https://www.lcsc.com/product-detail/Chip-Resistor-Surface-Mount_UNI-ROYAL-Uniroyal-Elec-0603WAF3300T5E_C23138.html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Multilayer-Ceramic-Capacitors-MLCC-SMD-SMT_Murata-Electronics-GRM188R61E475KE11D_C90057.html" TargetMode="External"/><Relationship Id="rId16" Type="http://schemas.openxmlformats.org/officeDocument/2006/relationships/hyperlink" Target="https://www.chipsmall.com/Products/78L05G-SO8-R_35000047.html" TargetMode="External"/><Relationship Id="rId1" Type="http://schemas.openxmlformats.org/officeDocument/2006/relationships/hyperlink" Target="https://www.lcsc.com/product-detail/Aluminum-Electrolytic-Capacitors-SMD_ROQANG-RVT1A101M0605_C72474.html" TargetMode="External"/><Relationship Id="rId6" Type="http://schemas.openxmlformats.org/officeDocument/2006/relationships/hyperlink" Target="https://www.lcsc.com/product-detail/Light-Emitting-Diodes-LED_Foshan-NationStar-Optoelectronics-NCD0805R1_C84256.html" TargetMode="External"/><Relationship Id="rId11" Type="http://schemas.openxmlformats.org/officeDocument/2006/relationships/hyperlink" Target="https://www.lcsc.com/product-detail/Chip-Resistor-Surface-Mount_YAGEO-RC0603FR-0710KL_C98220.html" TargetMode="External"/><Relationship Id="rId5" Type="http://schemas.openxmlformats.org/officeDocument/2006/relationships/hyperlink" Target="https://www.lcsc.com/product-detail/Light-Emitting-Diodes-LED_XINGLIGHT-XL-2012SYGC_C965816.html" TargetMode="External"/><Relationship Id="rId15" Type="http://schemas.openxmlformats.org/officeDocument/2006/relationships/hyperlink" Target="https://www.lcsc.com/product-detail/Microcontroller-Units-MCUs-MPUs-SOCs_Microchip-Tech-PIC16F1823-I-SL_C16719.html" TargetMode="External"/><Relationship Id="rId10" Type="http://schemas.openxmlformats.org/officeDocument/2006/relationships/hyperlink" Target="https://www.lcsc.com/product-detail/Chip-Resistor-Surface-Mount_YAGEO-RT0603BRD0747KL_C326725.html" TargetMode="External"/><Relationship Id="rId4" Type="http://schemas.openxmlformats.org/officeDocument/2006/relationships/hyperlink" Target="https://www.lcsc.com/product-detail/Female-Headers_BOOMELE-Boom-Precision-Elec-2-54-2-5P_C843271.html" TargetMode="External"/><Relationship Id="rId9" Type="http://schemas.openxmlformats.org/officeDocument/2006/relationships/hyperlink" Target="https://www.lcsc.com/product-detail/Chip-Resistor-Surface-Mount_YAGEO-RT0603BRD071KL_C110776.html" TargetMode="External"/><Relationship Id="rId14" Type="http://schemas.openxmlformats.org/officeDocument/2006/relationships/hyperlink" Target="https://www.lcsc.com/product-detail/Chip-Resistor-Surface-Mount_UNI-ROYAL-Uniroyal-Elec-1206W4F2201T5E_C17948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Bipolar-Transistors-BJT_Guangdong-Hottech-MMBTA42_C181172.html" TargetMode="External"/><Relationship Id="rId13" Type="http://schemas.openxmlformats.org/officeDocument/2006/relationships/hyperlink" Target="https://www.lcsc.com/product-detail/Chip-Resistor-Surface-Mount_YAGEO-RT0603BRD073K3L_C309653.html" TargetMode="External"/><Relationship Id="rId3" Type="http://schemas.openxmlformats.org/officeDocument/2006/relationships/hyperlink" Target="https://www.lcsc.com/product-detail/Multilayer-Ceramic-Capacitors-MLCC-SMD-SMT_Samsung-Electro-Mechanics-CL10B104KB8WPNC_C307348.html" TargetMode="External"/><Relationship Id="rId7" Type="http://schemas.openxmlformats.org/officeDocument/2006/relationships/hyperlink" Target="https://www.lcsc.com/product-detail/Bipolar-Transistors-BJT_ST-Semtech-BC846B-1B_C118727.html" TargetMode="External"/><Relationship Id="rId12" Type="http://schemas.openxmlformats.org/officeDocument/2006/relationships/hyperlink" Target="https://www.lcsc.com/product-detail/Chip-Resistor-Surface-Mount_UNI-ROYAL-Uniroyal-Elec-0603WAF3300T5E_C23138.html" TargetMode="External"/><Relationship Id="rId17" Type="http://schemas.openxmlformats.org/officeDocument/2006/relationships/drawing" Target="../drawings/drawing2.xml"/><Relationship Id="rId2" Type="http://schemas.openxmlformats.org/officeDocument/2006/relationships/hyperlink" Target="https://www.lcsc.com/product-detail/Multilayer-Ceramic-Capacitors-MLCC-SMD-SMT_Murata-Electronics-GRM188R61E475KE11D_C90057.html" TargetMode="External"/><Relationship Id="rId16" Type="http://schemas.openxmlformats.org/officeDocument/2006/relationships/hyperlink" Target="https://www.chipsmall.com/Products/78L05G-SO8-R_35000047.html" TargetMode="External"/><Relationship Id="rId1" Type="http://schemas.openxmlformats.org/officeDocument/2006/relationships/hyperlink" Target="https://www.lcsc.com/product-detail/Aluminum-Electrolytic-Capacitors-SMD_ROQANG-RVT1A101M0605_C72474.html" TargetMode="External"/><Relationship Id="rId6" Type="http://schemas.openxmlformats.org/officeDocument/2006/relationships/hyperlink" Target="https://www.lcsc.com/product-detail/Light-Emitting-Diodes-LED_Foshan-NationStar-Optoelectronics-NCD0805R1_C84256.html" TargetMode="External"/><Relationship Id="rId11" Type="http://schemas.openxmlformats.org/officeDocument/2006/relationships/hyperlink" Target="https://www.lcsc.com/product-detail/Chip-Resistor-Surface-Mount_YAGEO-RC0603FR-0710KL_C98220.html" TargetMode="External"/><Relationship Id="rId5" Type="http://schemas.openxmlformats.org/officeDocument/2006/relationships/hyperlink" Target="https://www.lcsc.com/product-detail/Light-Emitting-Diodes-LED_XINGLIGHT-XL-2012SYGC_C965816.html" TargetMode="External"/><Relationship Id="rId15" Type="http://schemas.openxmlformats.org/officeDocument/2006/relationships/hyperlink" Target="https://www.lcsc.com/product-detail/Microcontroller-Units-MCUs-MPUs-SOCs_Microchip-Tech-PIC16F1823-I-SL_C16719.html" TargetMode="External"/><Relationship Id="rId10" Type="http://schemas.openxmlformats.org/officeDocument/2006/relationships/hyperlink" Target="https://www.lcsc.com/product-detail/Chip-Resistor-Surface-Mount_YAGEO-RT0603BRD0747KL_C326725.html" TargetMode="External"/><Relationship Id="rId4" Type="http://schemas.openxmlformats.org/officeDocument/2006/relationships/hyperlink" Target="https://www.lcsc.com/product-detail/Female-Headers_BOOMELE-Boom-Precision-Elec-2-54-2-5P_C843271.html" TargetMode="External"/><Relationship Id="rId9" Type="http://schemas.openxmlformats.org/officeDocument/2006/relationships/hyperlink" Target="https://www.lcsc.com/product-detail/Chip-Resistor-Surface-Mount_YAGEO-RT0603BRD071KL_C110776.html" TargetMode="External"/><Relationship Id="rId14" Type="http://schemas.openxmlformats.org/officeDocument/2006/relationships/hyperlink" Target="https://www.lcsc.com/product-detail/Chip-Resistor-Surface-Mount_UNI-ROYAL-Uniroyal-Elec-1206W4F2201T5E_C17948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csc.com/product-detail/Multilayer-Ceramic-Capacitors-MLCC-SMD-SMT_YAGEO-CC0603KRX7R6BB104_C519438.html" TargetMode="External"/><Relationship Id="rId2" Type="http://schemas.openxmlformats.org/officeDocument/2006/relationships/hyperlink" Target="https://www.lcsc.com/product-detail/Multilayer-Ceramic-Capacitors-MLCC-SMD-SMT_CCTC-TCC0603X5R475K100CT_C380324.html" TargetMode="External"/><Relationship Id="rId1" Type="http://schemas.openxmlformats.org/officeDocument/2006/relationships/hyperlink" Target="https://www.lcsc.com/product-detail/Aluminum-Electrolytic-Capacitors-SMD_KNSCHA-CS100UF10V167RV0144_C5250963.html" TargetMode="Externa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8"/>
  <sheetViews>
    <sheetView topLeftCell="I1" workbookViewId="0">
      <selection activeCell="D10" sqref="D10"/>
    </sheetView>
  </sheetViews>
  <sheetFormatPr defaultRowHeight="1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9.7109375" bestFit="1" customWidth="1"/>
    <col min="10" max="10" width="25.7109375" bestFit="1" customWidth="1"/>
    <col min="11" max="11" width="17.85546875" bestFit="1" customWidth="1"/>
    <col min="12" max="12" width="16.7109375" bestFit="1" customWidth="1"/>
    <col min="13" max="13" width="25.28515625" bestFit="1" customWidth="1"/>
    <col min="14" max="14" width="23.28515625" bestFit="1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  <col min="19" max="19" width="26.85546875" bestFit="1" customWidth="1"/>
  </cols>
  <sheetData>
    <row r="1" spans="1:19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9"/>
      <c r="L1" s="49"/>
      <c r="M1" s="49"/>
      <c r="N1" s="49"/>
      <c r="O1" s="49"/>
      <c r="P1" s="49"/>
      <c r="Q1" s="49"/>
      <c r="R1" s="49"/>
      <c r="S1" s="50"/>
    </row>
    <row r="2" spans="1:19" ht="32.25" thickBot="1">
      <c r="A2" s="1"/>
      <c r="B2" s="7"/>
      <c r="C2" s="13"/>
      <c r="D2" s="4" t="s">
        <v>0</v>
      </c>
      <c r="E2" s="4"/>
      <c r="F2" s="41" t="s">
        <v>5</v>
      </c>
      <c r="G2" s="5"/>
      <c r="H2" s="3"/>
      <c r="I2" s="32"/>
      <c r="J2" s="33"/>
      <c r="K2" s="33"/>
      <c r="L2" s="33"/>
      <c r="M2" s="33"/>
      <c r="N2" s="33"/>
      <c r="O2" s="33"/>
      <c r="P2" s="33"/>
      <c r="Q2" s="33"/>
      <c r="R2" s="33"/>
      <c r="S2" s="53"/>
    </row>
    <row r="3" spans="1:19" ht="16.5" thickBot="1">
      <c r="A3" s="1"/>
      <c r="B3" s="8"/>
      <c r="C3" s="27"/>
      <c r="D3" s="40" t="s">
        <v>1</v>
      </c>
      <c r="E3" s="28"/>
      <c r="F3" s="42" t="s">
        <v>6</v>
      </c>
      <c r="G3" s="30"/>
      <c r="H3" s="31"/>
      <c r="I3" s="29"/>
      <c r="J3" s="25"/>
      <c r="K3" s="25"/>
      <c r="L3" s="25"/>
      <c r="M3" s="25"/>
      <c r="N3" s="25"/>
      <c r="O3" s="25"/>
      <c r="P3" s="25"/>
      <c r="Q3" s="25"/>
      <c r="R3" s="25"/>
      <c r="S3" s="54"/>
    </row>
    <row r="4" spans="1:19">
      <c r="A4" s="1"/>
      <c r="B4" s="8"/>
      <c r="C4" s="27"/>
      <c r="D4" s="28"/>
      <c r="E4" s="28"/>
      <c r="F4" s="26"/>
      <c r="G4" s="29"/>
      <c r="H4" s="25"/>
      <c r="I4" s="29"/>
      <c r="J4" s="25"/>
      <c r="K4" s="25"/>
      <c r="L4" s="25"/>
      <c r="M4" s="25"/>
      <c r="N4" s="25"/>
      <c r="O4" s="25"/>
      <c r="P4" s="25"/>
      <c r="Q4" s="25"/>
      <c r="R4" s="25"/>
      <c r="S4" s="54"/>
    </row>
    <row r="5" spans="1:19">
      <c r="A5" s="1"/>
      <c r="B5" s="9"/>
      <c r="C5" s="34"/>
      <c r="D5" s="35"/>
      <c r="E5" s="35"/>
      <c r="F5" s="26"/>
      <c r="G5" s="35"/>
      <c r="H5" s="36"/>
      <c r="I5" s="35"/>
      <c r="J5" s="36"/>
      <c r="K5" s="36"/>
      <c r="L5" s="36"/>
      <c r="M5" s="36"/>
      <c r="N5" s="36"/>
      <c r="O5" s="36"/>
      <c r="P5" s="36"/>
      <c r="Q5" s="36"/>
      <c r="R5" s="36"/>
      <c r="S5" s="54"/>
    </row>
    <row r="6" spans="1:19" ht="15.75" thickBot="1">
      <c r="A6" s="1"/>
      <c r="B6" s="11"/>
      <c r="C6" s="37"/>
      <c r="D6" s="29"/>
      <c r="E6" s="29"/>
      <c r="F6" s="38"/>
      <c r="G6" s="35"/>
      <c r="H6" s="36"/>
      <c r="I6" s="35"/>
      <c r="J6" s="36"/>
      <c r="K6" s="36"/>
      <c r="L6" s="36"/>
      <c r="M6" s="36"/>
      <c r="N6" s="36"/>
      <c r="O6" s="36"/>
      <c r="P6" s="36"/>
      <c r="Q6" s="36"/>
      <c r="R6" s="36"/>
      <c r="S6" s="55"/>
    </row>
    <row r="7" spans="1:19" ht="15.75" thickBot="1">
      <c r="A7" s="1"/>
      <c r="B7" s="12" t="s">
        <v>2</v>
      </c>
      <c r="C7" s="12" t="s">
        <v>7</v>
      </c>
      <c r="D7" s="12" t="s">
        <v>16</v>
      </c>
      <c r="E7" s="12" t="s">
        <v>34</v>
      </c>
      <c r="F7" s="12" t="s">
        <v>52</v>
      </c>
      <c r="G7" s="12" t="s">
        <v>63</v>
      </c>
      <c r="H7" s="12" t="s">
        <v>79</v>
      </c>
      <c r="I7" s="12" t="s">
        <v>123</v>
      </c>
      <c r="J7" s="12" t="s">
        <v>93</v>
      </c>
      <c r="K7" s="12" t="s">
        <v>109</v>
      </c>
      <c r="L7" s="12" t="s">
        <v>122</v>
      </c>
      <c r="M7" s="12" t="s">
        <v>124</v>
      </c>
      <c r="N7" s="12" t="s">
        <v>125</v>
      </c>
      <c r="O7" s="12" t="s">
        <v>126</v>
      </c>
      <c r="P7" s="12" t="s">
        <v>127</v>
      </c>
      <c r="Q7" s="12" t="s">
        <v>128</v>
      </c>
      <c r="R7" s="12" t="s">
        <v>129</v>
      </c>
      <c r="S7" s="12" t="s">
        <v>130</v>
      </c>
    </row>
    <row r="8" spans="1:19" ht="36">
      <c r="A8" s="1"/>
      <c r="B8" s="16">
        <f>ROW(B8) - ROW($B$7)</f>
        <v>1</v>
      </c>
      <c r="C8" s="23" t="s">
        <v>8</v>
      </c>
      <c r="D8" s="14" t="s">
        <v>17</v>
      </c>
      <c r="E8" s="14" t="s">
        <v>35</v>
      </c>
      <c r="F8" s="14" t="s">
        <v>53</v>
      </c>
      <c r="G8" s="14" t="s">
        <v>53</v>
      </c>
      <c r="H8" s="14" t="s">
        <v>80</v>
      </c>
      <c r="I8" s="14"/>
      <c r="J8" s="14" t="s">
        <v>94</v>
      </c>
      <c r="K8" s="14" t="s">
        <v>110</v>
      </c>
      <c r="L8" s="14">
        <v>1</v>
      </c>
      <c r="M8" s="14">
        <f>L8*5</f>
        <v>5</v>
      </c>
      <c r="N8" s="43">
        <v>20</v>
      </c>
      <c r="O8" s="45" t="s">
        <v>131</v>
      </c>
      <c r="P8" s="47">
        <v>2.2700000000000001E-2</v>
      </c>
      <c r="Q8" s="15">
        <f>P8*N8</f>
        <v>0.45400000000000001</v>
      </c>
      <c r="R8" s="14"/>
      <c r="S8" s="20"/>
    </row>
    <row r="9" spans="1:19">
      <c r="A9" s="1"/>
      <c r="B9" s="17">
        <f t="shared" ref="B9:B23" si="0">ROW(B9) - ROW($B$7)</f>
        <v>2</v>
      </c>
      <c r="C9" s="24"/>
      <c r="D9" s="21" t="s">
        <v>18</v>
      </c>
      <c r="E9" s="21" t="s">
        <v>36</v>
      </c>
      <c r="F9" s="21" t="s">
        <v>54</v>
      </c>
      <c r="G9" s="21" t="s">
        <v>64</v>
      </c>
      <c r="H9" s="21" t="s">
        <v>81</v>
      </c>
      <c r="I9" s="21"/>
      <c r="J9" s="21" t="s">
        <v>95</v>
      </c>
      <c r="K9" s="21" t="s">
        <v>111</v>
      </c>
      <c r="L9" s="21">
        <v>2</v>
      </c>
      <c r="M9" s="21">
        <f t="shared" ref="M9" si="1">L9*5</f>
        <v>10</v>
      </c>
      <c r="N9" s="44">
        <v>20</v>
      </c>
      <c r="O9" s="46" t="s">
        <v>131</v>
      </c>
      <c r="P9" s="48">
        <v>3.3399999999999999E-2</v>
      </c>
      <c r="Q9" s="22">
        <f t="shared" ref="Q9" si="2">P9*N9</f>
        <v>0.66799999999999993</v>
      </c>
      <c r="R9" s="21"/>
      <c r="S9" s="21"/>
    </row>
    <row r="10" spans="1:19">
      <c r="A10" s="1"/>
      <c r="B10" s="16">
        <f>ROW(B10) - ROW($B$7)</f>
        <v>3</v>
      </c>
      <c r="C10" s="23" t="s">
        <v>8</v>
      </c>
      <c r="D10" s="14" t="s">
        <v>19</v>
      </c>
      <c r="E10" s="14" t="s">
        <v>37</v>
      </c>
      <c r="F10" s="14" t="s">
        <v>54</v>
      </c>
      <c r="G10" s="14"/>
      <c r="H10" s="14"/>
      <c r="I10" s="14"/>
      <c r="J10" s="14" t="s">
        <v>96</v>
      </c>
      <c r="K10" s="14" t="s">
        <v>112</v>
      </c>
      <c r="L10" s="14">
        <v>3</v>
      </c>
      <c r="M10" s="14">
        <f>L10*5</f>
        <v>15</v>
      </c>
      <c r="N10" s="43">
        <v>100</v>
      </c>
      <c r="O10" s="45" t="s">
        <v>131</v>
      </c>
      <c r="P10" s="47">
        <v>5.4000000000000003E-3</v>
      </c>
      <c r="Q10" s="15">
        <f>P10*N10</f>
        <v>0.54</v>
      </c>
      <c r="R10" s="14"/>
      <c r="S10" s="20"/>
    </row>
    <row r="11" spans="1:19" ht="60">
      <c r="A11" s="1"/>
      <c r="B11" s="17">
        <f t="shared" si="0"/>
        <v>4</v>
      </c>
      <c r="C11" s="24" t="s">
        <v>9</v>
      </c>
      <c r="D11" s="21" t="s">
        <v>20</v>
      </c>
      <c r="E11" s="21" t="s">
        <v>38</v>
      </c>
      <c r="F11" s="21" t="s">
        <v>55</v>
      </c>
      <c r="G11" s="21" t="s">
        <v>65</v>
      </c>
      <c r="H11" s="21" t="s">
        <v>82</v>
      </c>
      <c r="I11" s="21"/>
      <c r="J11" s="21" t="s">
        <v>55</v>
      </c>
      <c r="K11" s="21" t="s">
        <v>65</v>
      </c>
      <c r="L11" s="21">
        <v>1</v>
      </c>
      <c r="M11" s="21">
        <f t="shared" ref="M11" si="3">L11*5</f>
        <v>5</v>
      </c>
      <c r="N11" s="44">
        <v>5</v>
      </c>
      <c r="O11" s="46" t="s">
        <v>131</v>
      </c>
      <c r="P11" s="48">
        <v>0.13719999999999999</v>
      </c>
      <c r="Q11" s="22">
        <f t="shared" ref="Q11" si="4">P11*N11</f>
        <v>0.68599999999999994</v>
      </c>
      <c r="R11" s="21"/>
      <c r="S11" s="21"/>
    </row>
    <row r="12" spans="1:19" ht="24">
      <c r="A12" s="1"/>
      <c r="B12" s="16">
        <f>ROW(B12) - ROW($B$7)</f>
        <v>5</v>
      </c>
      <c r="C12" s="23" t="s">
        <v>10</v>
      </c>
      <c r="D12" s="14" t="s">
        <v>21</v>
      </c>
      <c r="E12" s="14" t="s">
        <v>39</v>
      </c>
      <c r="F12" s="14" t="s">
        <v>56</v>
      </c>
      <c r="G12" s="14" t="s">
        <v>66</v>
      </c>
      <c r="H12" s="14" t="s">
        <v>83</v>
      </c>
      <c r="I12" s="14"/>
      <c r="J12" s="14" t="s">
        <v>97</v>
      </c>
      <c r="K12" s="14" t="s">
        <v>113</v>
      </c>
      <c r="L12" s="14">
        <v>1</v>
      </c>
      <c r="M12" s="14">
        <f>L12*5</f>
        <v>5</v>
      </c>
      <c r="N12" s="43">
        <v>100</v>
      </c>
      <c r="O12" s="45" t="s">
        <v>131</v>
      </c>
      <c r="P12" s="47">
        <v>6.7000000000000002E-3</v>
      </c>
      <c r="Q12" s="15">
        <f>P12*N12</f>
        <v>0.67</v>
      </c>
      <c r="R12" s="14"/>
      <c r="S12" s="20"/>
    </row>
    <row r="13" spans="1:19" ht="48">
      <c r="A13" s="1"/>
      <c r="B13" s="17">
        <f t="shared" si="0"/>
        <v>6</v>
      </c>
      <c r="C13" s="24" t="s">
        <v>10</v>
      </c>
      <c r="D13" s="21" t="s">
        <v>22</v>
      </c>
      <c r="E13" s="21" t="s">
        <v>40</v>
      </c>
      <c r="F13" s="21" t="s">
        <v>56</v>
      </c>
      <c r="G13" s="21" t="s">
        <v>67</v>
      </c>
      <c r="H13" s="21" t="s">
        <v>84</v>
      </c>
      <c r="I13" s="21"/>
      <c r="J13" s="21" t="s">
        <v>98</v>
      </c>
      <c r="K13" s="21" t="s">
        <v>114</v>
      </c>
      <c r="L13" s="21">
        <v>3</v>
      </c>
      <c r="M13" s="21">
        <f t="shared" ref="M13" si="5">L13*5</f>
        <v>15</v>
      </c>
      <c r="N13" s="44">
        <v>20</v>
      </c>
      <c r="O13" s="46" t="s">
        <v>131</v>
      </c>
      <c r="P13" s="48">
        <v>1.23E-2</v>
      </c>
      <c r="Q13" s="22">
        <f t="shared" ref="Q13" si="6">P13*N13</f>
        <v>0.246</v>
      </c>
      <c r="R13" s="21"/>
      <c r="S13" s="21"/>
    </row>
    <row r="14" spans="1:19">
      <c r="A14" s="1"/>
      <c r="B14" s="16">
        <f>ROW(B14) - ROW($B$7)</f>
        <v>7</v>
      </c>
      <c r="C14" s="23" t="s">
        <v>11</v>
      </c>
      <c r="D14" s="14" t="s">
        <v>23</v>
      </c>
      <c r="E14" s="14" t="s">
        <v>41</v>
      </c>
      <c r="F14" s="14" t="s">
        <v>57</v>
      </c>
      <c r="G14" s="14" t="s">
        <v>68</v>
      </c>
      <c r="H14" s="14" t="s">
        <v>85</v>
      </c>
      <c r="I14" s="14"/>
      <c r="J14" s="14" t="s">
        <v>99</v>
      </c>
      <c r="K14" s="14" t="s">
        <v>115</v>
      </c>
      <c r="L14" s="14">
        <v>2</v>
      </c>
      <c r="M14" s="14">
        <f>L14*5</f>
        <v>10</v>
      </c>
      <c r="N14" s="43"/>
      <c r="O14" s="43"/>
      <c r="P14" s="47"/>
      <c r="Q14" s="15">
        <f>P14*N14</f>
        <v>0</v>
      </c>
      <c r="R14" s="14"/>
      <c r="S14" s="20"/>
    </row>
    <row r="15" spans="1:19" ht="24">
      <c r="A15" s="1"/>
      <c r="B15" s="17">
        <f t="shared" si="0"/>
        <v>8</v>
      </c>
      <c r="C15" s="24" t="s">
        <v>12</v>
      </c>
      <c r="D15" s="21" t="s">
        <v>24</v>
      </c>
      <c r="E15" s="21" t="s">
        <v>42</v>
      </c>
      <c r="F15" s="21" t="s">
        <v>58</v>
      </c>
      <c r="G15" s="21" t="s">
        <v>69</v>
      </c>
      <c r="H15" s="21" t="s">
        <v>86</v>
      </c>
      <c r="I15" s="21"/>
      <c r="J15" s="21" t="s">
        <v>100</v>
      </c>
      <c r="K15" s="21" t="s">
        <v>69</v>
      </c>
      <c r="L15" s="21">
        <v>3</v>
      </c>
      <c r="M15" s="21">
        <f t="shared" ref="M15" si="7">L15*5</f>
        <v>15</v>
      </c>
      <c r="N15" s="44">
        <v>50</v>
      </c>
      <c r="O15" s="46" t="s">
        <v>131</v>
      </c>
      <c r="P15" s="48">
        <v>1.4999999999999999E-2</v>
      </c>
      <c r="Q15" s="22">
        <f t="shared" ref="Q15" si="8">P15*N15</f>
        <v>0.75</v>
      </c>
      <c r="R15" s="21"/>
      <c r="S15" s="21"/>
    </row>
    <row r="16" spans="1:19" ht="36">
      <c r="A16" s="1"/>
      <c r="B16" s="16">
        <f>ROW(B16) - ROW($B$7)</f>
        <v>9</v>
      </c>
      <c r="C16" s="23" t="s">
        <v>12</v>
      </c>
      <c r="D16" s="14" t="s">
        <v>25</v>
      </c>
      <c r="E16" s="14" t="s">
        <v>43</v>
      </c>
      <c r="F16" s="14" t="s">
        <v>58</v>
      </c>
      <c r="G16" s="14" t="s">
        <v>70</v>
      </c>
      <c r="H16" s="14" t="s">
        <v>87</v>
      </c>
      <c r="I16" s="14"/>
      <c r="J16" s="14" t="s">
        <v>101</v>
      </c>
      <c r="K16" s="14" t="s">
        <v>70</v>
      </c>
      <c r="L16" s="14">
        <v>1</v>
      </c>
      <c r="M16" s="14">
        <f>L16*5</f>
        <v>5</v>
      </c>
      <c r="N16" s="43">
        <v>5</v>
      </c>
      <c r="O16" s="45" t="s">
        <v>131</v>
      </c>
      <c r="P16" s="47">
        <v>1.9E-2</v>
      </c>
      <c r="Q16" s="15">
        <f>P16*N16</f>
        <v>9.5000000000000001E-2</v>
      </c>
      <c r="R16" s="14"/>
      <c r="S16" s="20"/>
    </row>
    <row r="17" spans="1:19">
      <c r="A17" s="1"/>
      <c r="B17" s="17">
        <f t="shared" si="0"/>
        <v>10</v>
      </c>
      <c r="C17" s="24" t="s">
        <v>13</v>
      </c>
      <c r="D17" s="21" t="s">
        <v>26</v>
      </c>
      <c r="E17" s="21" t="s">
        <v>44</v>
      </c>
      <c r="F17" s="21" t="s">
        <v>59</v>
      </c>
      <c r="G17" s="21" t="s">
        <v>71</v>
      </c>
      <c r="H17" s="21" t="s">
        <v>88</v>
      </c>
      <c r="I17" s="21"/>
      <c r="J17" s="21" t="s">
        <v>102</v>
      </c>
      <c r="K17" s="21" t="s">
        <v>116</v>
      </c>
      <c r="L17" s="21">
        <v>7</v>
      </c>
      <c r="M17" s="21">
        <f t="shared" ref="M17" si="9">L17*5</f>
        <v>35</v>
      </c>
      <c r="N17" s="44">
        <v>40</v>
      </c>
      <c r="O17" s="46" t="s">
        <v>131</v>
      </c>
      <c r="P17" s="48">
        <v>1.9199999999999998E-2</v>
      </c>
      <c r="Q17" s="22">
        <f t="shared" ref="Q17" si="10">P17*N17</f>
        <v>0.7679999999999999</v>
      </c>
      <c r="R17" s="21"/>
      <c r="S17" s="21"/>
    </row>
    <row r="18" spans="1:19">
      <c r="A18" s="1"/>
      <c r="B18" s="16">
        <f>ROW(B18) - ROW($B$7)</f>
        <v>11</v>
      </c>
      <c r="C18" s="23" t="s">
        <v>13</v>
      </c>
      <c r="D18" s="14" t="s">
        <v>27</v>
      </c>
      <c r="E18" s="14" t="s">
        <v>45</v>
      </c>
      <c r="F18" s="14" t="s">
        <v>59</v>
      </c>
      <c r="G18" s="14" t="s">
        <v>72</v>
      </c>
      <c r="H18" s="14" t="s">
        <v>88</v>
      </c>
      <c r="I18" s="14"/>
      <c r="J18" s="14" t="s">
        <v>103</v>
      </c>
      <c r="K18" s="14" t="s">
        <v>117</v>
      </c>
      <c r="L18" s="14">
        <v>4</v>
      </c>
      <c r="M18" s="14">
        <f>L18*5</f>
        <v>20</v>
      </c>
      <c r="N18" s="43">
        <v>20</v>
      </c>
      <c r="O18" s="45" t="s">
        <v>131</v>
      </c>
      <c r="P18" s="47">
        <v>2.23E-2</v>
      </c>
      <c r="Q18" s="15">
        <f>P18*N18</f>
        <v>0.44600000000000001</v>
      </c>
      <c r="R18" s="14"/>
      <c r="S18" s="20"/>
    </row>
    <row r="19" spans="1:19">
      <c r="A19" s="1"/>
      <c r="B19" s="17">
        <f t="shared" si="0"/>
        <v>12</v>
      </c>
      <c r="C19" s="24" t="s">
        <v>13</v>
      </c>
      <c r="D19" s="21" t="s">
        <v>28</v>
      </c>
      <c r="E19" s="21" t="s">
        <v>46</v>
      </c>
      <c r="F19" s="21" t="s">
        <v>59</v>
      </c>
      <c r="G19" s="21" t="s">
        <v>73</v>
      </c>
      <c r="H19" s="21" t="s">
        <v>88</v>
      </c>
      <c r="I19" s="21"/>
      <c r="J19" s="21" t="s">
        <v>104</v>
      </c>
      <c r="K19" s="21" t="s">
        <v>118</v>
      </c>
      <c r="L19" s="21">
        <v>3</v>
      </c>
      <c r="M19" s="21">
        <f t="shared" ref="M19" si="11">L19*5</f>
        <v>15</v>
      </c>
      <c r="N19" s="44">
        <v>100</v>
      </c>
      <c r="O19" s="46" t="s">
        <v>131</v>
      </c>
      <c r="P19" s="48">
        <v>1E-3</v>
      </c>
      <c r="Q19" s="22">
        <f t="shared" ref="Q19" si="12">P19*N19</f>
        <v>0.1</v>
      </c>
      <c r="R19" s="21"/>
      <c r="S19" s="21"/>
    </row>
    <row r="20" spans="1:19" ht="36">
      <c r="A20" s="1"/>
      <c r="B20" s="16">
        <f>ROW(B20) - ROW($B$7)</f>
        <v>13</v>
      </c>
      <c r="C20" s="23" t="s">
        <v>13</v>
      </c>
      <c r="D20" s="14" t="s">
        <v>29</v>
      </c>
      <c r="E20" s="14" t="s">
        <v>47</v>
      </c>
      <c r="F20" s="14" t="s">
        <v>59</v>
      </c>
      <c r="G20" s="14" t="s">
        <v>74</v>
      </c>
      <c r="H20" s="14" t="s">
        <v>89</v>
      </c>
      <c r="I20" s="14"/>
      <c r="J20" s="14" t="s">
        <v>105</v>
      </c>
      <c r="K20" s="14" t="s">
        <v>119</v>
      </c>
      <c r="L20" s="14">
        <v>3</v>
      </c>
      <c r="M20" s="14">
        <f>L20*5</f>
        <v>15</v>
      </c>
      <c r="N20" s="43">
        <v>100</v>
      </c>
      <c r="O20" s="45" t="s">
        <v>131</v>
      </c>
      <c r="P20" s="47">
        <v>1E-3</v>
      </c>
      <c r="Q20" s="15">
        <f>P20*N20</f>
        <v>0.1</v>
      </c>
      <c r="R20" s="14"/>
      <c r="S20" s="20"/>
    </row>
    <row r="21" spans="1:19">
      <c r="A21" s="1"/>
      <c r="B21" s="17">
        <f t="shared" si="0"/>
        <v>14</v>
      </c>
      <c r="C21" s="24" t="s">
        <v>13</v>
      </c>
      <c r="D21" s="21" t="s">
        <v>30</v>
      </c>
      <c r="E21" s="21" t="s">
        <v>48</v>
      </c>
      <c r="F21" s="21" t="s">
        <v>59</v>
      </c>
      <c r="G21" s="21" t="s">
        <v>75</v>
      </c>
      <c r="H21" s="21" t="s">
        <v>88</v>
      </c>
      <c r="I21" s="21"/>
      <c r="J21" s="21" t="s">
        <v>106</v>
      </c>
      <c r="K21" s="21" t="s">
        <v>120</v>
      </c>
      <c r="L21" s="21">
        <v>3</v>
      </c>
      <c r="M21" s="21">
        <f t="shared" ref="M21" si="13">L21*5</f>
        <v>15</v>
      </c>
      <c r="N21" s="44">
        <v>20</v>
      </c>
      <c r="O21" s="46" t="s">
        <v>131</v>
      </c>
      <c r="P21" s="48">
        <v>2.2800000000000001E-2</v>
      </c>
      <c r="Q21" s="22">
        <f t="shared" ref="Q21" si="14">P21*N21</f>
        <v>0.45600000000000002</v>
      </c>
      <c r="R21" s="21"/>
      <c r="S21" s="21"/>
    </row>
    <row r="22" spans="1:19" ht="36">
      <c r="A22" s="1"/>
      <c r="B22" s="16">
        <f>ROW(B22) - ROW($B$7)</f>
        <v>15</v>
      </c>
      <c r="C22" s="23" t="s">
        <v>13</v>
      </c>
      <c r="D22" s="14" t="s">
        <v>31</v>
      </c>
      <c r="E22" s="14" t="s">
        <v>49</v>
      </c>
      <c r="F22" s="14" t="s">
        <v>60</v>
      </c>
      <c r="G22" s="14" t="s">
        <v>76</v>
      </c>
      <c r="H22" s="14" t="s">
        <v>90</v>
      </c>
      <c r="I22" s="14"/>
      <c r="J22" s="14" t="s">
        <v>107</v>
      </c>
      <c r="K22" s="14" t="s">
        <v>121</v>
      </c>
      <c r="L22" s="14">
        <v>1</v>
      </c>
      <c r="M22" s="14">
        <f>L22*5</f>
        <v>5</v>
      </c>
      <c r="N22" s="43">
        <v>100</v>
      </c>
      <c r="O22" s="45" t="s">
        <v>131</v>
      </c>
      <c r="P22" s="47">
        <v>2.8E-3</v>
      </c>
      <c r="Q22" s="15">
        <f>P22*N22</f>
        <v>0.27999999999999997</v>
      </c>
      <c r="R22" s="14"/>
      <c r="S22" s="20"/>
    </row>
    <row r="23" spans="1:19">
      <c r="A23" s="1"/>
      <c r="B23" s="17">
        <f t="shared" si="0"/>
        <v>16</v>
      </c>
      <c r="C23" s="24" t="s">
        <v>14</v>
      </c>
      <c r="D23" s="21" t="s">
        <v>32</v>
      </c>
      <c r="E23" s="21" t="s">
        <v>50</v>
      </c>
      <c r="F23" s="21" t="s">
        <v>61</v>
      </c>
      <c r="G23" s="21" t="s">
        <v>77</v>
      </c>
      <c r="H23" s="21" t="s">
        <v>91</v>
      </c>
      <c r="I23" s="21"/>
      <c r="J23" s="21"/>
      <c r="K23" s="21" t="s">
        <v>77</v>
      </c>
      <c r="L23" s="21">
        <v>1</v>
      </c>
      <c r="M23" s="21">
        <f t="shared" ref="M23" si="15">L23*5</f>
        <v>5</v>
      </c>
      <c r="N23" s="44">
        <v>5</v>
      </c>
      <c r="O23" s="46" t="s">
        <v>131</v>
      </c>
      <c r="P23" s="48">
        <v>1.2563</v>
      </c>
      <c r="Q23" s="22">
        <f t="shared" ref="Q23" si="16">P23*N23</f>
        <v>6.2814999999999994</v>
      </c>
      <c r="R23" s="21"/>
      <c r="S23" s="21"/>
    </row>
    <row r="24" spans="1:19" ht="15.75" thickBot="1">
      <c r="A24" s="1"/>
      <c r="B24" s="16">
        <f>ROW(B24) - ROW($B$7)</f>
        <v>17</v>
      </c>
      <c r="C24" s="23" t="s">
        <v>15</v>
      </c>
      <c r="D24" s="14" t="s">
        <v>33</v>
      </c>
      <c r="E24" s="14" t="s">
        <v>51</v>
      </c>
      <c r="F24" s="14" t="s">
        <v>62</v>
      </c>
      <c r="G24" s="14" t="s">
        <v>78</v>
      </c>
      <c r="H24" s="14" t="s">
        <v>92</v>
      </c>
      <c r="I24" s="14"/>
      <c r="J24" s="14" t="s">
        <v>108</v>
      </c>
      <c r="K24" s="14" t="s">
        <v>78</v>
      </c>
      <c r="L24" s="14">
        <v>1</v>
      </c>
      <c r="M24" s="14">
        <f>L24*5</f>
        <v>5</v>
      </c>
      <c r="N24" s="43"/>
      <c r="O24" s="45" t="s">
        <v>132</v>
      </c>
      <c r="P24" s="47"/>
      <c r="Q24" s="15">
        <f>P24*N24</f>
        <v>0</v>
      </c>
      <c r="R24" s="14"/>
      <c r="S24" s="20"/>
    </row>
    <row r="25" spans="1:19" ht="19.5" thickBo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51" t="s">
        <v>3</v>
      </c>
      <c r="O25" s="52"/>
      <c r="P25" s="52"/>
      <c r="Q25" s="18">
        <f>SUM(Q8:Q24)</f>
        <v>12.540499999999998</v>
      </c>
      <c r="R25" s="1"/>
      <c r="S25" s="1"/>
    </row>
    <row r="26" spans="1:19" ht="19.5" thickBo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51" t="s">
        <v>4</v>
      </c>
      <c r="O26" s="52"/>
      <c r="P26" s="52"/>
      <c r="Q26" s="19">
        <f>Q25/5</f>
        <v>2.5080999999999998</v>
      </c>
      <c r="R26" s="1"/>
      <c r="S26" s="1"/>
    </row>
    <row r="38" spans="13:13">
      <c r="M38" s="39"/>
    </row>
  </sheetData>
  <mergeCells count="4">
    <mergeCell ref="K1:S1"/>
    <mergeCell ref="N25:P25"/>
    <mergeCell ref="N26:P26"/>
    <mergeCell ref="S2:S6"/>
  </mergeCells>
  <hyperlinks>
    <hyperlink ref="O8" r:id="rId1" xr:uid="{C7841AA1-85E8-4FFC-892D-C54ECD83501F}"/>
    <hyperlink ref="O9" r:id="rId2" xr:uid="{786C734B-94D4-4D80-B640-C5FD5C6A2D91}"/>
    <hyperlink ref="O10" r:id="rId3" xr:uid="{C9EABCD2-D64A-435E-8FF6-77C8B6FF8504}"/>
    <hyperlink ref="O11" r:id="rId4" xr:uid="{D4A18A44-DBBC-40B1-8834-6AC666D47B1A}"/>
    <hyperlink ref="O12" r:id="rId5" xr:uid="{CCF7C5A3-0DA8-403A-90CC-5AD68015FB8C}"/>
    <hyperlink ref="O13" r:id="rId6" xr:uid="{50DD4283-4991-48CE-A8F4-9674F3F00713}"/>
    <hyperlink ref="O15" r:id="rId7" xr:uid="{580B3212-0787-437F-83A4-5BA68BCAAE9D}"/>
    <hyperlink ref="O16" r:id="rId8" xr:uid="{71254758-C8EA-4EAF-A3E9-77FE24D06F89}"/>
    <hyperlink ref="O17" r:id="rId9" xr:uid="{7E9FC9B1-E1FD-4713-97DD-AC52270DB545}"/>
    <hyperlink ref="O18" r:id="rId10" xr:uid="{A20E03FA-4548-49AE-9A7C-346BC21BEF04}"/>
    <hyperlink ref="O19" r:id="rId11" xr:uid="{EF222F64-2D06-4A76-BB60-94F16BE97506}"/>
    <hyperlink ref="O20" r:id="rId12" xr:uid="{74AE704C-280F-4A95-A01E-6FA5CE49E26B}"/>
    <hyperlink ref="O21" r:id="rId13" xr:uid="{026709D7-F40F-4EB2-84C9-11CA417CB198}"/>
    <hyperlink ref="O22" r:id="rId14" xr:uid="{C45DB42D-E622-416C-9BF8-FA4EE5704703}"/>
    <hyperlink ref="O23" r:id="rId15" xr:uid="{F6D83DC0-CA49-4D7A-9CAD-8602D7F2F42E}"/>
    <hyperlink ref="O24" r:id="rId16" xr:uid="{7AB57B35-6291-4859-958E-477DCEE4080A}"/>
  </hyperlinks>
  <pageMargins left="0.7" right="0.7" top="0.75" bottom="0.75" header="0.3" footer="0.3"/>
  <pageSetup paperSize="9"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361F-3318-43E4-BE21-0B02DB551EE0}">
  <dimension ref="A1:S38"/>
  <sheetViews>
    <sheetView topLeftCell="I4" workbookViewId="0">
      <selection activeCell="R26" sqref="R26"/>
    </sheetView>
  </sheetViews>
  <sheetFormatPr defaultRowHeight="1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9.7109375" bestFit="1" customWidth="1"/>
    <col min="10" max="10" width="25.7109375" bestFit="1" customWidth="1"/>
    <col min="11" max="11" width="17.85546875" bestFit="1" customWidth="1"/>
    <col min="12" max="12" width="16.7109375" bestFit="1" customWidth="1"/>
    <col min="13" max="13" width="25.28515625" bestFit="1" customWidth="1"/>
    <col min="14" max="14" width="23.28515625" bestFit="1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  <col min="19" max="19" width="26.85546875" bestFit="1" customWidth="1"/>
  </cols>
  <sheetData>
    <row r="1" spans="1:19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9"/>
      <c r="L1" s="49"/>
      <c r="M1" s="49"/>
      <c r="N1" s="49"/>
      <c r="O1" s="49"/>
      <c r="P1" s="49"/>
      <c r="Q1" s="49"/>
      <c r="R1" s="49"/>
      <c r="S1" s="50"/>
    </row>
    <row r="2" spans="1:19" ht="32.25" thickBot="1">
      <c r="A2" s="1"/>
      <c r="B2" s="7"/>
      <c r="C2" s="13"/>
      <c r="D2" s="4" t="s">
        <v>0</v>
      </c>
      <c r="E2" s="4"/>
      <c r="F2" s="41" t="s">
        <v>5</v>
      </c>
      <c r="G2" s="5"/>
      <c r="H2" s="3"/>
      <c r="I2" s="32"/>
      <c r="J2" s="33"/>
      <c r="K2" s="33"/>
      <c r="L2" s="33"/>
      <c r="M2" s="33"/>
      <c r="N2" s="33"/>
      <c r="O2" s="33"/>
      <c r="P2" s="33"/>
      <c r="Q2" s="33"/>
      <c r="R2" s="33"/>
      <c r="S2" s="53"/>
    </row>
    <row r="3" spans="1:19" ht="16.5" thickBot="1">
      <c r="A3" s="1"/>
      <c r="B3" s="8"/>
      <c r="C3" s="27"/>
      <c r="D3" s="40" t="s">
        <v>1</v>
      </c>
      <c r="E3" s="28"/>
      <c r="F3" s="42" t="s">
        <v>6</v>
      </c>
      <c r="G3" s="30"/>
      <c r="H3" s="31"/>
      <c r="I3" s="29"/>
      <c r="J3" s="25"/>
      <c r="K3" s="25"/>
      <c r="L3" s="25"/>
      <c r="M3" s="25"/>
      <c r="N3" s="25"/>
      <c r="O3" s="25"/>
      <c r="P3" s="25"/>
      <c r="Q3" s="25"/>
      <c r="R3" s="25"/>
      <c r="S3" s="54"/>
    </row>
    <row r="4" spans="1:19">
      <c r="A4" s="1"/>
      <c r="B4" s="8"/>
      <c r="C4" s="27"/>
      <c r="D4" s="28"/>
      <c r="E4" s="28"/>
      <c r="F4" s="26"/>
      <c r="G4" s="29"/>
      <c r="H4" s="25"/>
      <c r="I4" s="29"/>
      <c r="J4" s="25"/>
      <c r="K4" s="25"/>
      <c r="L4" s="25"/>
      <c r="M4" s="25"/>
      <c r="N4" s="25"/>
      <c r="O4" s="25"/>
      <c r="P4" s="25"/>
      <c r="Q4" s="25"/>
      <c r="R4" s="25"/>
      <c r="S4" s="54"/>
    </row>
    <row r="5" spans="1:19">
      <c r="A5" s="1"/>
      <c r="B5" s="9"/>
      <c r="C5" s="34"/>
      <c r="D5" s="35"/>
      <c r="E5" s="35"/>
      <c r="F5" s="26"/>
      <c r="G5" s="35"/>
      <c r="H5" s="36"/>
      <c r="I5" s="35"/>
      <c r="J5" s="36"/>
      <c r="K5" s="36"/>
      <c r="L5" s="36"/>
      <c r="M5" s="36"/>
      <c r="N5" s="36"/>
      <c r="O5" s="36"/>
      <c r="P5" s="36"/>
      <c r="Q5" s="36"/>
      <c r="R5" s="36"/>
      <c r="S5" s="54"/>
    </row>
    <row r="6" spans="1:19" ht="15.75" thickBot="1">
      <c r="A6" s="1"/>
      <c r="B6" s="11"/>
      <c r="C6" s="37"/>
      <c r="D6" s="29"/>
      <c r="E6" s="29"/>
      <c r="F6" s="38"/>
      <c r="G6" s="35"/>
      <c r="H6" s="36"/>
      <c r="I6" s="35"/>
      <c r="J6" s="36"/>
      <c r="K6" s="36"/>
      <c r="L6" s="36"/>
      <c r="M6" s="36"/>
      <c r="N6" s="36"/>
      <c r="O6" s="36"/>
      <c r="P6" s="36"/>
      <c r="Q6" s="36"/>
      <c r="R6" s="36"/>
      <c r="S6" s="55"/>
    </row>
    <row r="7" spans="1:19" ht="15.75" thickBot="1">
      <c r="A7" s="1"/>
      <c r="B7" s="12" t="s">
        <v>2</v>
      </c>
      <c r="C7" s="12" t="s">
        <v>7</v>
      </c>
      <c r="D7" s="12" t="s">
        <v>16</v>
      </c>
      <c r="E7" s="12" t="s">
        <v>34</v>
      </c>
      <c r="F7" s="12" t="s">
        <v>52</v>
      </c>
      <c r="G7" s="12" t="s">
        <v>63</v>
      </c>
      <c r="H7" s="12" t="s">
        <v>79</v>
      </c>
      <c r="I7" s="12" t="s">
        <v>123</v>
      </c>
      <c r="J7" s="12" t="s">
        <v>93</v>
      </c>
      <c r="K7" s="12" t="s">
        <v>109</v>
      </c>
      <c r="L7" s="12" t="s">
        <v>122</v>
      </c>
      <c r="M7" s="12" t="s">
        <v>133</v>
      </c>
      <c r="N7" s="12" t="s">
        <v>134</v>
      </c>
      <c r="O7" s="12" t="s">
        <v>126</v>
      </c>
      <c r="P7" s="12" t="s">
        <v>135</v>
      </c>
      <c r="Q7" s="12" t="s">
        <v>136</v>
      </c>
      <c r="R7" s="12" t="s">
        <v>129</v>
      </c>
      <c r="S7" s="12" t="s">
        <v>130</v>
      </c>
    </row>
    <row r="8" spans="1:19" ht="36">
      <c r="A8" s="1"/>
      <c r="B8" s="16">
        <f>ROW(B8) - ROW($B$7)</f>
        <v>1</v>
      </c>
      <c r="C8" s="23" t="s">
        <v>8</v>
      </c>
      <c r="D8" s="14" t="s">
        <v>17</v>
      </c>
      <c r="E8" s="14" t="s">
        <v>35</v>
      </c>
      <c r="F8" s="14" t="s">
        <v>53</v>
      </c>
      <c r="G8" s="14" t="s">
        <v>53</v>
      </c>
      <c r="H8" s="14" t="s">
        <v>80</v>
      </c>
      <c r="I8" s="14"/>
      <c r="J8" s="14" t="s">
        <v>94</v>
      </c>
      <c r="K8" s="14" t="s">
        <v>110</v>
      </c>
      <c r="L8" s="14">
        <v>1</v>
      </c>
      <c r="M8" s="14">
        <f>L8*5</f>
        <v>5</v>
      </c>
      <c r="N8" s="43">
        <v>1000</v>
      </c>
      <c r="O8" s="45" t="s">
        <v>131</v>
      </c>
      <c r="P8" s="47">
        <v>1.5800000000000002E-2</v>
      </c>
      <c r="Q8" s="15">
        <f>P8*N8</f>
        <v>15.8</v>
      </c>
      <c r="R8" s="14"/>
      <c r="S8" s="20"/>
    </row>
    <row r="9" spans="1:19">
      <c r="A9" s="1"/>
      <c r="B9" s="17">
        <f t="shared" ref="B9:B23" si="0">ROW(B9) - ROW($B$7)</f>
        <v>2</v>
      </c>
      <c r="C9" s="24"/>
      <c r="D9" s="21" t="s">
        <v>18</v>
      </c>
      <c r="E9" s="21" t="s">
        <v>36</v>
      </c>
      <c r="F9" s="21" t="s">
        <v>54</v>
      </c>
      <c r="G9" s="21" t="s">
        <v>64</v>
      </c>
      <c r="H9" s="21" t="s">
        <v>81</v>
      </c>
      <c r="I9" s="21"/>
      <c r="J9" s="21" t="s">
        <v>95</v>
      </c>
      <c r="K9" s="21" t="s">
        <v>111</v>
      </c>
      <c r="L9" s="21">
        <v>2</v>
      </c>
      <c r="M9" s="21">
        <f t="shared" ref="M9" si="1">L9*5</f>
        <v>10</v>
      </c>
      <c r="N9" s="44">
        <v>2000</v>
      </c>
      <c r="O9" s="46" t="s">
        <v>131</v>
      </c>
      <c r="P9" s="48">
        <v>2.35E-2</v>
      </c>
      <c r="Q9" s="22">
        <f t="shared" ref="Q9" si="2">P9*N9</f>
        <v>47</v>
      </c>
      <c r="R9" s="21"/>
      <c r="S9" s="21"/>
    </row>
    <row r="10" spans="1:19">
      <c r="A10" s="1"/>
      <c r="B10" s="16">
        <f>ROW(B10) - ROW($B$7)</f>
        <v>3</v>
      </c>
      <c r="C10" s="23" t="s">
        <v>8</v>
      </c>
      <c r="D10" s="14" t="s">
        <v>19</v>
      </c>
      <c r="E10" s="14" t="s">
        <v>37</v>
      </c>
      <c r="F10" s="14" t="s">
        <v>54</v>
      </c>
      <c r="G10" s="14"/>
      <c r="H10" s="14"/>
      <c r="I10" s="14"/>
      <c r="J10" s="14" t="s">
        <v>96</v>
      </c>
      <c r="K10" s="14" t="s">
        <v>112</v>
      </c>
      <c r="L10" s="14">
        <v>3</v>
      </c>
      <c r="M10" s="14">
        <f>L10*5</f>
        <v>15</v>
      </c>
      <c r="N10" s="43">
        <v>3000</v>
      </c>
      <c r="O10" s="45" t="s">
        <v>131</v>
      </c>
      <c r="P10" s="47">
        <v>4.4000000000000003E-3</v>
      </c>
      <c r="Q10" s="15">
        <f>P10*N10</f>
        <v>13.200000000000001</v>
      </c>
      <c r="R10" s="14"/>
      <c r="S10" s="20"/>
    </row>
    <row r="11" spans="1:19" ht="60">
      <c r="A11" s="1"/>
      <c r="B11" s="17">
        <f t="shared" si="0"/>
        <v>4</v>
      </c>
      <c r="C11" s="24" t="s">
        <v>9</v>
      </c>
      <c r="D11" s="21" t="s">
        <v>20</v>
      </c>
      <c r="E11" s="21" t="s">
        <v>38</v>
      </c>
      <c r="F11" s="21" t="s">
        <v>55</v>
      </c>
      <c r="G11" s="21" t="s">
        <v>65</v>
      </c>
      <c r="H11" s="21" t="s">
        <v>82</v>
      </c>
      <c r="I11" s="21"/>
      <c r="J11" s="21" t="s">
        <v>55</v>
      </c>
      <c r="K11" s="21" t="s">
        <v>65</v>
      </c>
      <c r="L11" s="21">
        <v>1</v>
      </c>
      <c r="M11" s="21">
        <f t="shared" ref="M11" si="3">L11*5</f>
        <v>5</v>
      </c>
      <c r="N11" s="44">
        <v>1000</v>
      </c>
      <c r="O11" s="46" t="s">
        <v>131</v>
      </c>
      <c r="P11" s="48">
        <v>8.5000000000000006E-2</v>
      </c>
      <c r="Q11" s="22">
        <f t="shared" ref="Q11" si="4">P11*N11</f>
        <v>85</v>
      </c>
      <c r="R11" s="21"/>
      <c r="S11" s="21"/>
    </row>
    <row r="12" spans="1:19" ht="24">
      <c r="A12" s="1"/>
      <c r="B12" s="16">
        <f>ROW(B12) - ROW($B$7)</f>
        <v>5</v>
      </c>
      <c r="C12" s="23" t="s">
        <v>10</v>
      </c>
      <c r="D12" s="14" t="s">
        <v>21</v>
      </c>
      <c r="E12" s="14" t="s">
        <v>39</v>
      </c>
      <c r="F12" s="14" t="s">
        <v>56</v>
      </c>
      <c r="G12" s="14" t="s">
        <v>66</v>
      </c>
      <c r="H12" s="14" t="s">
        <v>83</v>
      </c>
      <c r="I12" s="14"/>
      <c r="J12" s="14" t="s">
        <v>97</v>
      </c>
      <c r="K12" s="14" t="s">
        <v>113</v>
      </c>
      <c r="L12" s="14">
        <v>1</v>
      </c>
      <c r="M12" s="14">
        <f>L12*5</f>
        <v>5</v>
      </c>
      <c r="N12" s="43">
        <v>1000</v>
      </c>
      <c r="O12" s="45" t="s">
        <v>131</v>
      </c>
      <c r="P12" s="47">
        <v>5.4000000000000003E-3</v>
      </c>
      <c r="Q12" s="15">
        <f>P12*N12</f>
        <v>5.4</v>
      </c>
      <c r="R12" s="14"/>
      <c r="S12" s="20"/>
    </row>
    <row r="13" spans="1:19" ht="48">
      <c r="A13" s="1"/>
      <c r="B13" s="17">
        <f t="shared" si="0"/>
        <v>6</v>
      </c>
      <c r="C13" s="24" t="s">
        <v>10</v>
      </c>
      <c r="D13" s="21" t="s">
        <v>22</v>
      </c>
      <c r="E13" s="21" t="s">
        <v>40</v>
      </c>
      <c r="F13" s="21" t="s">
        <v>56</v>
      </c>
      <c r="G13" s="21" t="s">
        <v>67</v>
      </c>
      <c r="H13" s="21" t="s">
        <v>84</v>
      </c>
      <c r="I13" s="21"/>
      <c r="J13" s="21" t="s">
        <v>98</v>
      </c>
      <c r="K13" s="21" t="s">
        <v>114</v>
      </c>
      <c r="L13" s="21">
        <v>3</v>
      </c>
      <c r="M13" s="21">
        <f t="shared" ref="M13" si="5">L13*5</f>
        <v>15</v>
      </c>
      <c r="N13" s="44">
        <v>3000</v>
      </c>
      <c r="O13" s="46" t="s">
        <v>131</v>
      </c>
      <c r="P13" s="48">
        <v>6.4000000000000003E-3</v>
      </c>
      <c r="Q13" s="22">
        <f t="shared" ref="Q13" si="6">P13*N13</f>
        <v>19.2</v>
      </c>
      <c r="R13" s="21"/>
      <c r="S13" s="21"/>
    </row>
    <row r="14" spans="1:19">
      <c r="A14" s="1"/>
      <c r="B14" s="16">
        <f>ROW(B14) - ROW($B$7)</f>
        <v>7</v>
      </c>
      <c r="C14" s="23" t="s">
        <v>11</v>
      </c>
      <c r="D14" s="14" t="s">
        <v>23</v>
      </c>
      <c r="E14" s="14" t="s">
        <v>41</v>
      </c>
      <c r="F14" s="14" t="s">
        <v>57</v>
      </c>
      <c r="G14" s="14" t="s">
        <v>68</v>
      </c>
      <c r="H14" s="14" t="s">
        <v>85</v>
      </c>
      <c r="I14" s="14"/>
      <c r="J14" s="14" t="s">
        <v>99</v>
      </c>
      <c r="K14" s="14" t="s">
        <v>115</v>
      </c>
      <c r="L14" s="14">
        <v>2</v>
      </c>
      <c r="M14" s="14">
        <f>L14*5</f>
        <v>10</v>
      </c>
      <c r="N14" s="43"/>
      <c r="O14" s="43"/>
      <c r="P14" s="47"/>
      <c r="Q14" s="15">
        <f>P14*N14</f>
        <v>0</v>
      </c>
      <c r="R14" s="14"/>
      <c r="S14" s="20"/>
    </row>
    <row r="15" spans="1:19" ht="24">
      <c r="A15" s="1"/>
      <c r="B15" s="17">
        <f t="shared" si="0"/>
        <v>8</v>
      </c>
      <c r="C15" s="24" t="s">
        <v>12</v>
      </c>
      <c r="D15" s="21" t="s">
        <v>24</v>
      </c>
      <c r="E15" s="21" t="s">
        <v>42</v>
      </c>
      <c r="F15" s="21" t="s">
        <v>58</v>
      </c>
      <c r="G15" s="21" t="s">
        <v>69</v>
      </c>
      <c r="H15" s="21" t="s">
        <v>86</v>
      </c>
      <c r="I15" s="21"/>
      <c r="J15" s="21" t="s">
        <v>100</v>
      </c>
      <c r="K15" s="21" t="s">
        <v>69</v>
      </c>
      <c r="L15" s="21">
        <v>3</v>
      </c>
      <c r="M15" s="21">
        <f t="shared" ref="M15" si="7">L15*5</f>
        <v>15</v>
      </c>
      <c r="N15" s="44">
        <v>3000</v>
      </c>
      <c r="O15" s="46" t="s">
        <v>131</v>
      </c>
      <c r="P15" s="48">
        <v>1.03E-2</v>
      </c>
      <c r="Q15" s="22">
        <f t="shared" ref="Q15" si="8">P15*N15</f>
        <v>30.900000000000002</v>
      </c>
      <c r="R15" s="21"/>
      <c r="S15" s="21"/>
    </row>
    <row r="16" spans="1:19" ht="36">
      <c r="A16" s="1"/>
      <c r="B16" s="16">
        <f>ROW(B16) - ROW($B$7)</f>
        <v>9</v>
      </c>
      <c r="C16" s="23" t="s">
        <v>12</v>
      </c>
      <c r="D16" s="14" t="s">
        <v>25</v>
      </c>
      <c r="E16" s="14" t="s">
        <v>43</v>
      </c>
      <c r="F16" s="14" t="s">
        <v>58</v>
      </c>
      <c r="G16" s="14" t="s">
        <v>70</v>
      </c>
      <c r="H16" s="14" t="s">
        <v>87</v>
      </c>
      <c r="I16" s="14"/>
      <c r="J16" s="14" t="s">
        <v>101</v>
      </c>
      <c r="K16" s="14" t="s">
        <v>70</v>
      </c>
      <c r="L16" s="14">
        <v>1</v>
      </c>
      <c r="M16" s="14">
        <f>L16*5</f>
        <v>5</v>
      </c>
      <c r="N16" s="43">
        <v>1000</v>
      </c>
      <c r="O16" s="45" t="s">
        <v>131</v>
      </c>
      <c r="P16" s="47">
        <v>1.0500000000000001E-2</v>
      </c>
      <c r="Q16" s="15">
        <f>P16*N16</f>
        <v>10.5</v>
      </c>
      <c r="R16" s="14"/>
      <c r="S16" s="20"/>
    </row>
    <row r="17" spans="1:19">
      <c r="A17" s="1"/>
      <c r="B17" s="17">
        <f t="shared" si="0"/>
        <v>10</v>
      </c>
      <c r="C17" s="24" t="s">
        <v>13</v>
      </c>
      <c r="D17" s="21" t="s">
        <v>26</v>
      </c>
      <c r="E17" s="21" t="s">
        <v>44</v>
      </c>
      <c r="F17" s="21" t="s">
        <v>59</v>
      </c>
      <c r="G17" s="21" t="s">
        <v>71</v>
      </c>
      <c r="H17" s="21" t="s">
        <v>88</v>
      </c>
      <c r="I17" s="21"/>
      <c r="J17" s="21" t="s">
        <v>102</v>
      </c>
      <c r="K17" s="21" t="s">
        <v>116</v>
      </c>
      <c r="L17" s="21">
        <v>7</v>
      </c>
      <c r="M17" s="21">
        <f t="shared" ref="M17" si="9">L17*5</f>
        <v>35</v>
      </c>
      <c r="N17" s="44">
        <v>7000</v>
      </c>
      <c r="O17" s="46" t="s">
        <v>131</v>
      </c>
      <c r="P17" s="48">
        <v>1.21E-2</v>
      </c>
      <c r="Q17" s="22">
        <f t="shared" ref="Q17" si="10">P17*N17</f>
        <v>84.7</v>
      </c>
      <c r="R17" s="21"/>
      <c r="S17" s="21"/>
    </row>
    <row r="18" spans="1:19">
      <c r="A18" s="1"/>
      <c r="B18" s="16">
        <f>ROW(B18) - ROW($B$7)</f>
        <v>11</v>
      </c>
      <c r="C18" s="23" t="s">
        <v>13</v>
      </c>
      <c r="D18" s="14" t="s">
        <v>27</v>
      </c>
      <c r="E18" s="14" t="s">
        <v>45</v>
      </c>
      <c r="F18" s="14" t="s">
        <v>59</v>
      </c>
      <c r="G18" s="14" t="s">
        <v>72</v>
      </c>
      <c r="H18" s="14" t="s">
        <v>88</v>
      </c>
      <c r="I18" s="14"/>
      <c r="J18" s="14" t="s">
        <v>103</v>
      </c>
      <c r="K18" s="14" t="s">
        <v>117</v>
      </c>
      <c r="L18" s="14">
        <v>4</v>
      </c>
      <c r="M18" s="14">
        <f>L18*5</f>
        <v>20</v>
      </c>
      <c r="N18" s="43">
        <v>4000</v>
      </c>
      <c r="O18" s="45" t="s">
        <v>131</v>
      </c>
      <c r="P18" s="47">
        <v>1.61E-2</v>
      </c>
      <c r="Q18" s="15">
        <f>P18*N18</f>
        <v>64.400000000000006</v>
      </c>
      <c r="R18" s="14"/>
      <c r="S18" s="20"/>
    </row>
    <row r="19" spans="1:19">
      <c r="A19" s="1"/>
      <c r="B19" s="17">
        <f t="shared" si="0"/>
        <v>12</v>
      </c>
      <c r="C19" s="24" t="s">
        <v>13</v>
      </c>
      <c r="D19" s="21" t="s">
        <v>28</v>
      </c>
      <c r="E19" s="21" t="s">
        <v>46</v>
      </c>
      <c r="F19" s="21" t="s">
        <v>59</v>
      </c>
      <c r="G19" s="21" t="s">
        <v>73</v>
      </c>
      <c r="H19" s="21" t="s">
        <v>88</v>
      </c>
      <c r="I19" s="21"/>
      <c r="J19" s="21" t="s">
        <v>104</v>
      </c>
      <c r="K19" s="21" t="s">
        <v>118</v>
      </c>
      <c r="L19" s="21">
        <v>3</v>
      </c>
      <c r="M19" s="21">
        <f t="shared" ref="M19" si="11">L19*5</f>
        <v>15</v>
      </c>
      <c r="N19" s="44">
        <v>3000</v>
      </c>
      <c r="O19" s="46" t="s">
        <v>131</v>
      </c>
      <c r="P19" s="48">
        <v>8.0000000000000004E-4</v>
      </c>
      <c r="Q19" s="22">
        <f t="shared" ref="Q19" si="12">P19*N19</f>
        <v>2.4</v>
      </c>
      <c r="R19" s="21"/>
      <c r="S19" s="21"/>
    </row>
    <row r="20" spans="1:19" ht="36">
      <c r="A20" s="1"/>
      <c r="B20" s="16">
        <f>ROW(B20) - ROW($B$7)</f>
        <v>13</v>
      </c>
      <c r="C20" s="23" t="s">
        <v>13</v>
      </c>
      <c r="D20" s="14" t="s">
        <v>29</v>
      </c>
      <c r="E20" s="14" t="s">
        <v>47</v>
      </c>
      <c r="F20" s="14" t="s">
        <v>59</v>
      </c>
      <c r="G20" s="14" t="s">
        <v>74</v>
      </c>
      <c r="H20" s="14" t="s">
        <v>89</v>
      </c>
      <c r="I20" s="14"/>
      <c r="J20" s="14" t="s">
        <v>105</v>
      </c>
      <c r="K20" s="14" t="s">
        <v>119</v>
      </c>
      <c r="L20" s="14">
        <v>3</v>
      </c>
      <c r="M20" s="14">
        <f>L20*5</f>
        <v>15</v>
      </c>
      <c r="N20" s="43">
        <v>3000</v>
      </c>
      <c r="O20" s="45" t="s">
        <v>131</v>
      </c>
      <c r="P20" s="47">
        <v>8.0000000000000004E-4</v>
      </c>
      <c r="Q20" s="15">
        <f>P20*N20</f>
        <v>2.4</v>
      </c>
      <c r="R20" s="14"/>
      <c r="S20" s="20"/>
    </row>
    <row r="21" spans="1:19">
      <c r="A21" s="1"/>
      <c r="B21" s="17">
        <f t="shared" si="0"/>
        <v>14</v>
      </c>
      <c r="C21" s="24" t="s">
        <v>13</v>
      </c>
      <c r="D21" s="21" t="s">
        <v>30</v>
      </c>
      <c r="E21" s="21" t="s">
        <v>48</v>
      </c>
      <c r="F21" s="21" t="s">
        <v>59</v>
      </c>
      <c r="G21" s="21" t="s">
        <v>75</v>
      </c>
      <c r="H21" s="21" t="s">
        <v>88</v>
      </c>
      <c r="I21" s="21"/>
      <c r="J21" s="21" t="s">
        <v>106</v>
      </c>
      <c r="K21" s="21" t="s">
        <v>120</v>
      </c>
      <c r="L21" s="21">
        <v>3</v>
      </c>
      <c r="M21" s="21">
        <f t="shared" ref="M21" si="13">L21*5</f>
        <v>15</v>
      </c>
      <c r="N21" s="44">
        <v>3000</v>
      </c>
      <c r="O21" s="46" t="s">
        <v>131</v>
      </c>
      <c r="P21" s="48">
        <v>1.66E-2</v>
      </c>
      <c r="Q21" s="22">
        <f t="shared" ref="Q21" si="14">P21*N21</f>
        <v>49.8</v>
      </c>
      <c r="R21" s="21"/>
      <c r="S21" s="21"/>
    </row>
    <row r="22" spans="1:19" ht="36">
      <c r="A22" s="1"/>
      <c r="B22" s="16">
        <f>ROW(B22) - ROW($B$7)</f>
        <v>15</v>
      </c>
      <c r="C22" s="23" t="s">
        <v>13</v>
      </c>
      <c r="D22" s="14" t="s">
        <v>31</v>
      </c>
      <c r="E22" s="14" t="s">
        <v>49</v>
      </c>
      <c r="F22" s="14" t="s">
        <v>60</v>
      </c>
      <c r="G22" s="14" t="s">
        <v>76</v>
      </c>
      <c r="H22" s="14" t="s">
        <v>90</v>
      </c>
      <c r="I22" s="14"/>
      <c r="J22" s="14" t="s">
        <v>107</v>
      </c>
      <c r="K22" s="14" t="s">
        <v>121</v>
      </c>
      <c r="L22" s="14">
        <v>1</v>
      </c>
      <c r="M22" s="14">
        <f>L22*5</f>
        <v>5</v>
      </c>
      <c r="N22" s="43">
        <v>1000</v>
      </c>
      <c r="O22" s="45" t="s">
        <v>131</v>
      </c>
      <c r="P22" s="47">
        <v>2.2000000000000001E-3</v>
      </c>
      <c r="Q22" s="15">
        <f>P22*N22</f>
        <v>2.2000000000000002</v>
      </c>
      <c r="R22" s="14"/>
      <c r="S22" s="20"/>
    </row>
    <row r="23" spans="1:19">
      <c r="A23" s="1"/>
      <c r="B23" s="17">
        <f t="shared" si="0"/>
        <v>16</v>
      </c>
      <c r="C23" s="24" t="s">
        <v>14</v>
      </c>
      <c r="D23" s="21" t="s">
        <v>32</v>
      </c>
      <c r="E23" s="21" t="s">
        <v>50</v>
      </c>
      <c r="F23" s="21" t="s">
        <v>61</v>
      </c>
      <c r="G23" s="21" t="s">
        <v>77</v>
      </c>
      <c r="H23" s="21" t="s">
        <v>91</v>
      </c>
      <c r="I23" s="21"/>
      <c r="J23" s="21"/>
      <c r="K23" s="21" t="s">
        <v>77</v>
      </c>
      <c r="L23" s="21">
        <v>1</v>
      </c>
      <c r="M23" s="21">
        <f t="shared" ref="M23" si="15">L23*5</f>
        <v>5</v>
      </c>
      <c r="N23" s="44">
        <v>1000</v>
      </c>
      <c r="O23" s="46" t="s">
        <v>131</v>
      </c>
      <c r="P23" s="48">
        <v>0.75049999999999994</v>
      </c>
      <c r="Q23" s="22">
        <f t="shared" ref="Q23" si="16">P23*N23</f>
        <v>750.5</v>
      </c>
      <c r="R23" s="21"/>
      <c r="S23" s="21"/>
    </row>
    <row r="24" spans="1:19" ht="15.75" thickBot="1">
      <c r="A24" s="1"/>
      <c r="B24" s="16">
        <f>ROW(B24) - ROW($B$7)</f>
        <v>17</v>
      </c>
      <c r="C24" s="23" t="s">
        <v>15</v>
      </c>
      <c r="D24" s="14" t="s">
        <v>33</v>
      </c>
      <c r="E24" s="14" t="s">
        <v>51</v>
      </c>
      <c r="F24" s="14" t="s">
        <v>62</v>
      </c>
      <c r="G24" s="14" t="s">
        <v>78</v>
      </c>
      <c r="H24" s="14" t="s">
        <v>92</v>
      </c>
      <c r="I24" s="14"/>
      <c r="J24" s="14" t="s">
        <v>108</v>
      </c>
      <c r="K24" s="14" t="s">
        <v>78</v>
      </c>
      <c r="L24" s="14">
        <v>1</v>
      </c>
      <c r="M24" s="14">
        <f>L24*5</f>
        <v>5</v>
      </c>
      <c r="N24" s="43"/>
      <c r="O24" s="45" t="s">
        <v>132</v>
      </c>
      <c r="P24" s="47"/>
      <c r="Q24" s="15">
        <f>P24*N24</f>
        <v>0</v>
      </c>
      <c r="R24" s="14"/>
      <c r="S24" s="20"/>
    </row>
    <row r="25" spans="1:19" ht="19.5" thickBo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51" t="s">
        <v>3</v>
      </c>
      <c r="O25" s="52"/>
      <c r="P25" s="52"/>
      <c r="Q25" s="18">
        <f>SUM(Q8:Q24)</f>
        <v>1183.4000000000001</v>
      </c>
      <c r="R25" s="1"/>
      <c r="S25" s="1"/>
    </row>
    <row r="26" spans="1:19" ht="19.5" thickBo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51" t="s">
        <v>4</v>
      </c>
      <c r="O26" s="52"/>
      <c r="P26" s="52"/>
      <c r="Q26" s="19">
        <f>Q25/1000</f>
        <v>1.1834</v>
      </c>
      <c r="R26" s="1"/>
      <c r="S26" s="1"/>
    </row>
    <row r="38" spans="13:13">
      <c r="M38" s="39"/>
    </row>
  </sheetData>
  <mergeCells count="4">
    <mergeCell ref="K1:S1"/>
    <mergeCell ref="S2:S6"/>
    <mergeCell ref="N25:P25"/>
    <mergeCell ref="N26:P26"/>
  </mergeCells>
  <hyperlinks>
    <hyperlink ref="O8" r:id="rId1" xr:uid="{A7DA8DE3-6874-4EDC-B2A9-B0A69CE3F2A0}"/>
    <hyperlink ref="O9" r:id="rId2" xr:uid="{82098858-6603-40A1-9B9A-6B403B76874C}"/>
    <hyperlink ref="O10" r:id="rId3" xr:uid="{E1945826-0B68-4574-A71C-069ACB07F7B9}"/>
    <hyperlink ref="O11" r:id="rId4" xr:uid="{043DC8A3-E7ED-4D5F-BFFF-AA238A67259A}"/>
    <hyperlink ref="O12" r:id="rId5" xr:uid="{2CC205B5-1E93-4EE7-AAFA-22F39FB66090}"/>
    <hyperlink ref="O13" r:id="rId6" xr:uid="{8412A52B-EF0A-4FB1-9FC3-BD1E57BA6798}"/>
    <hyperlink ref="O15" r:id="rId7" xr:uid="{41984B49-5B46-48DD-B5E5-40F0C14D34F3}"/>
    <hyperlink ref="O16" r:id="rId8" xr:uid="{C20B4EC5-0C17-4DC8-85FE-88D9507A854A}"/>
    <hyperlink ref="O17" r:id="rId9" xr:uid="{B2306B48-E5B9-4570-BEBB-5ECD67DEF175}"/>
    <hyperlink ref="O18" r:id="rId10" xr:uid="{28353D2B-8B2A-4761-B591-12689C2AD1AF}"/>
    <hyperlink ref="O19" r:id="rId11" xr:uid="{825E033A-4C9E-4DEC-AE4D-117AF2487F88}"/>
    <hyperlink ref="O20" r:id="rId12" xr:uid="{9976ADC1-C538-487F-8794-1919FCDA4A6B}"/>
    <hyperlink ref="O21" r:id="rId13" xr:uid="{9EE20A7D-FA90-4671-9626-3D86382BDFBB}"/>
    <hyperlink ref="O22" r:id="rId14" xr:uid="{273462F1-934F-48AE-98E6-185C4D41D8D7}"/>
    <hyperlink ref="O23" r:id="rId15" xr:uid="{8F4586C2-9DF0-4B26-A031-8521B11BA94E}"/>
    <hyperlink ref="O24" r:id="rId16" xr:uid="{1E4E40F2-43A6-485C-AFFF-AC3F5356E83D}"/>
  </hyperlinks>
  <pageMargins left="0.7" right="0.7" top="0.75" bottom="0.75" header="0.3" footer="0.3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6B36-0FD6-40D3-BF62-90F87E3B99F5}">
  <dimension ref="A1:S38"/>
  <sheetViews>
    <sheetView tabSelected="1" topLeftCell="I4" workbookViewId="0">
      <selection activeCell="P11" sqref="P11"/>
    </sheetView>
  </sheetViews>
  <sheetFormatPr defaultRowHeight="1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9.7109375" bestFit="1" customWidth="1"/>
    <col min="10" max="10" width="25.7109375" bestFit="1" customWidth="1"/>
    <col min="11" max="11" width="17.85546875" bestFit="1" customWidth="1"/>
    <col min="12" max="12" width="16.7109375" bestFit="1" customWidth="1"/>
    <col min="13" max="13" width="25.28515625" bestFit="1" customWidth="1"/>
    <col min="14" max="14" width="23.28515625" bestFit="1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  <col min="19" max="19" width="26.85546875" bestFit="1" customWidth="1"/>
  </cols>
  <sheetData>
    <row r="1" spans="1:19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9"/>
      <c r="L1" s="49"/>
      <c r="M1" s="49"/>
      <c r="N1" s="49"/>
      <c r="O1" s="49"/>
      <c r="P1" s="49"/>
      <c r="Q1" s="49"/>
      <c r="R1" s="49"/>
      <c r="S1" s="50"/>
    </row>
    <row r="2" spans="1:19" ht="32.25" thickBot="1">
      <c r="A2" s="1"/>
      <c r="B2" s="7"/>
      <c r="C2" s="13"/>
      <c r="D2" s="4" t="s">
        <v>0</v>
      </c>
      <c r="E2" s="4"/>
      <c r="F2" s="41" t="s">
        <v>5</v>
      </c>
      <c r="G2" s="5"/>
      <c r="H2" s="3"/>
      <c r="I2" s="32"/>
      <c r="J2" s="33"/>
      <c r="K2" s="33"/>
      <c r="L2" s="33"/>
      <c r="M2" s="33"/>
      <c r="N2" s="33"/>
      <c r="O2" s="33"/>
      <c r="P2" s="33"/>
      <c r="Q2" s="33"/>
      <c r="R2" s="33"/>
      <c r="S2" s="53"/>
    </row>
    <row r="3" spans="1:19" ht="16.5" thickBot="1">
      <c r="A3" s="1"/>
      <c r="B3" s="8"/>
      <c r="C3" s="27"/>
      <c r="D3" s="40" t="s">
        <v>1</v>
      </c>
      <c r="E3" s="28"/>
      <c r="F3" s="42" t="s">
        <v>6</v>
      </c>
      <c r="G3" s="30"/>
      <c r="H3" s="31"/>
      <c r="I3" s="29"/>
      <c r="J3" s="25"/>
      <c r="K3" s="25"/>
      <c r="L3" s="25"/>
      <c r="M3" s="25"/>
      <c r="N3" s="25"/>
      <c r="O3" s="25"/>
      <c r="P3" s="25"/>
      <c r="Q3" s="25"/>
      <c r="R3" s="25"/>
      <c r="S3" s="54"/>
    </row>
    <row r="4" spans="1:19">
      <c r="A4" s="1"/>
      <c r="B4" s="8"/>
      <c r="C4" s="27"/>
      <c r="D4" s="28"/>
      <c r="E4" s="28"/>
      <c r="F4" s="26"/>
      <c r="G4" s="29"/>
      <c r="H4" s="25"/>
      <c r="I4" s="29"/>
      <c r="J4" s="25"/>
      <c r="K4" s="25"/>
      <c r="L4" s="25"/>
      <c r="M4" s="25"/>
      <c r="N4" s="25"/>
      <c r="O4" s="25"/>
      <c r="P4" s="25"/>
      <c r="Q4" s="25"/>
      <c r="R4" s="25"/>
      <c r="S4" s="54"/>
    </row>
    <row r="5" spans="1:19">
      <c r="A5" s="1"/>
      <c r="B5" s="9"/>
      <c r="C5" s="34"/>
      <c r="D5" s="35"/>
      <c r="E5" s="35"/>
      <c r="F5" s="26"/>
      <c r="G5" s="35"/>
      <c r="H5" s="36"/>
      <c r="I5" s="35"/>
      <c r="J5" s="36"/>
      <c r="K5" s="36"/>
      <c r="L5" s="36"/>
      <c r="M5" s="36"/>
      <c r="N5" s="36"/>
      <c r="O5" s="36"/>
      <c r="P5" s="36"/>
      <c r="Q5" s="36"/>
      <c r="R5" s="36"/>
      <c r="S5" s="54"/>
    </row>
    <row r="6" spans="1:19" ht="15.75" thickBot="1">
      <c r="A6" s="1"/>
      <c r="B6" s="11"/>
      <c r="C6" s="37"/>
      <c r="D6" s="29"/>
      <c r="E6" s="29"/>
      <c r="F6" s="38"/>
      <c r="G6" s="35"/>
      <c r="H6" s="36"/>
      <c r="I6" s="35"/>
      <c r="J6" s="36"/>
      <c r="K6" s="36"/>
      <c r="L6" s="36"/>
      <c r="M6" s="36"/>
      <c r="N6" s="36"/>
      <c r="O6" s="36"/>
      <c r="P6" s="36"/>
      <c r="Q6" s="36"/>
      <c r="R6" s="36"/>
      <c r="S6" s="55"/>
    </row>
    <row r="7" spans="1:19" ht="15.75" thickBot="1">
      <c r="A7" s="1"/>
      <c r="B7" s="12" t="s">
        <v>2</v>
      </c>
      <c r="C7" s="12" t="s">
        <v>7</v>
      </c>
      <c r="D7" s="12" t="s">
        <v>16</v>
      </c>
      <c r="E7" s="12" t="s">
        <v>34</v>
      </c>
      <c r="F7" s="12" t="s">
        <v>52</v>
      </c>
      <c r="G7" s="12" t="s">
        <v>63</v>
      </c>
      <c r="H7" s="12" t="s">
        <v>79</v>
      </c>
      <c r="I7" s="12" t="s">
        <v>123</v>
      </c>
      <c r="J7" s="12" t="s">
        <v>93</v>
      </c>
      <c r="K7" s="12" t="s">
        <v>109</v>
      </c>
      <c r="L7" s="12" t="s">
        <v>122</v>
      </c>
      <c r="M7" s="12" t="s">
        <v>124</v>
      </c>
      <c r="N7" s="12" t="s">
        <v>125</v>
      </c>
      <c r="O7" s="12" t="s">
        <v>126</v>
      </c>
      <c r="P7" s="12" t="s">
        <v>127</v>
      </c>
      <c r="Q7" s="12" t="s">
        <v>128</v>
      </c>
      <c r="R7" s="12" t="s">
        <v>129</v>
      </c>
      <c r="S7" s="12" t="s">
        <v>130</v>
      </c>
    </row>
    <row r="8" spans="1:19" ht="36">
      <c r="A8" s="1"/>
      <c r="B8" s="16">
        <f>ROW(B8) - ROW($B$7)</f>
        <v>1</v>
      </c>
      <c r="C8" s="23" t="s">
        <v>8</v>
      </c>
      <c r="D8" s="14" t="s">
        <v>17</v>
      </c>
      <c r="E8" s="14" t="s">
        <v>35</v>
      </c>
      <c r="F8" s="14" t="s">
        <v>53</v>
      </c>
      <c r="G8" s="14" t="s">
        <v>53</v>
      </c>
      <c r="H8" s="14" t="s">
        <v>80</v>
      </c>
      <c r="I8" s="14"/>
      <c r="J8" s="14" t="s">
        <v>94</v>
      </c>
      <c r="K8" s="14" t="s">
        <v>110</v>
      </c>
      <c r="L8" s="14">
        <v>1</v>
      </c>
      <c r="M8" s="14">
        <f>L8*5</f>
        <v>5</v>
      </c>
      <c r="N8" s="43">
        <v>20</v>
      </c>
      <c r="O8" s="45" t="s">
        <v>131</v>
      </c>
      <c r="P8" s="47">
        <v>1.9E-2</v>
      </c>
      <c r="Q8" s="15">
        <f>P8*N8</f>
        <v>0.38</v>
      </c>
      <c r="R8" s="14"/>
      <c r="S8" s="20"/>
    </row>
    <row r="9" spans="1:19">
      <c r="A9" s="1"/>
      <c r="B9" s="17">
        <f t="shared" ref="B9:B23" si="0">ROW(B9) - ROW($B$7)</f>
        <v>2</v>
      </c>
      <c r="C9" s="24"/>
      <c r="D9" s="21" t="s">
        <v>18</v>
      </c>
      <c r="E9" s="21" t="s">
        <v>36</v>
      </c>
      <c r="F9" s="21" t="s">
        <v>54</v>
      </c>
      <c r="G9" s="21" t="s">
        <v>64</v>
      </c>
      <c r="H9" s="21" t="s">
        <v>81</v>
      </c>
      <c r="I9" s="21"/>
      <c r="J9" s="21" t="s">
        <v>95</v>
      </c>
      <c r="K9" s="21" t="s">
        <v>111</v>
      </c>
      <c r="L9" s="21">
        <v>2</v>
      </c>
      <c r="M9" s="21">
        <f t="shared" ref="M9" si="1">L9*5</f>
        <v>10</v>
      </c>
      <c r="N9" s="44">
        <v>100</v>
      </c>
      <c r="O9" s="46" t="s">
        <v>131</v>
      </c>
      <c r="P9" s="48">
        <v>4.4000000000000003E-3</v>
      </c>
      <c r="Q9" s="22">
        <f t="shared" ref="Q9" si="2">P9*N9</f>
        <v>0.44</v>
      </c>
      <c r="R9" s="21"/>
      <c r="S9" s="21"/>
    </row>
    <row r="10" spans="1:19">
      <c r="A10" s="1"/>
      <c r="B10" s="16">
        <f>ROW(B10) - ROW($B$7)</f>
        <v>3</v>
      </c>
      <c r="C10" s="23" t="s">
        <v>8</v>
      </c>
      <c r="D10" s="14" t="s">
        <v>19</v>
      </c>
      <c r="E10" s="14" t="s">
        <v>37</v>
      </c>
      <c r="F10" s="14" t="s">
        <v>54</v>
      </c>
      <c r="G10" s="14"/>
      <c r="H10" s="14"/>
      <c r="I10" s="14"/>
      <c r="J10" s="14" t="s">
        <v>96</v>
      </c>
      <c r="K10" s="14" t="s">
        <v>112</v>
      </c>
      <c r="L10" s="14">
        <v>3</v>
      </c>
      <c r="M10" s="14">
        <f>L10*5</f>
        <v>15</v>
      </c>
      <c r="N10" s="43">
        <v>100</v>
      </c>
      <c r="O10" s="45" t="s">
        <v>131</v>
      </c>
      <c r="P10" s="47">
        <v>3.0000000000000001E-3</v>
      </c>
      <c r="Q10" s="15">
        <f>P10*N10</f>
        <v>0.3</v>
      </c>
      <c r="R10" s="14"/>
      <c r="S10" s="20"/>
    </row>
    <row r="11" spans="1:19" ht="60">
      <c r="A11" s="1"/>
      <c r="B11" s="17">
        <f t="shared" si="0"/>
        <v>4</v>
      </c>
      <c r="C11" s="24" t="s">
        <v>9</v>
      </c>
      <c r="D11" s="21" t="s">
        <v>20</v>
      </c>
      <c r="E11" s="21" t="s">
        <v>38</v>
      </c>
      <c r="F11" s="21" t="s">
        <v>55</v>
      </c>
      <c r="G11" s="21" t="s">
        <v>65</v>
      </c>
      <c r="H11" s="21" t="s">
        <v>82</v>
      </c>
      <c r="I11" s="21"/>
      <c r="J11" s="21" t="s">
        <v>55</v>
      </c>
      <c r="K11" s="21" t="s">
        <v>65</v>
      </c>
      <c r="L11" s="21">
        <v>1</v>
      </c>
      <c r="M11" s="21">
        <f t="shared" ref="M11" si="3">L11*5</f>
        <v>5</v>
      </c>
      <c r="N11" s="44"/>
      <c r="O11" s="46"/>
      <c r="P11" s="48"/>
      <c r="Q11" s="22">
        <f t="shared" ref="Q11" si="4">P11*N11</f>
        <v>0</v>
      </c>
      <c r="R11" s="21"/>
      <c r="S11" s="21"/>
    </row>
    <row r="12" spans="1:19" ht="24">
      <c r="A12" s="1"/>
      <c r="B12" s="16">
        <f>ROW(B12) - ROW($B$7)</f>
        <v>5</v>
      </c>
      <c r="C12" s="23" t="s">
        <v>10</v>
      </c>
      <c r="D12" s="14" t="s">
        <v>21</v>
      </c>
      <c r="E12" s="14" t="s">
        <v>39</v>
      </c>
      <c r="F12" s="14" t="s">
        <v>56</v>
      </c>
      <c r="G12" s="14" t="s">
        <v>66</v>
      </c>
      <c r="H12" s="14" t="s">
        <v>83</v>
      </c>
      <c r="I12" s="14"/>
      <c r="J12" s="14" t="s">
        <v>97</v>
      </c>
      <c r="K12" s="14" t="s">
        <v>113</v>
      </c>
      <c r="L12" s="14">
        <v>1</v>
      </c>
      <c r="M12" s="14">
        <f>L12*5</f>
        <v>5</v>
      </c>
      <c r="N12" s="43"/>
      <c r="O12" s="45"/>
      <c r="P12" s="47"/>
      <c r="Q12" s="15">
        <f>P12*N12</f>
        <v>0</v>
      </c>
      <c r="R12" s="14"/>
      <c r="S12" s="20"/>
    </row>
    <row r="13" spans="1:19" ht="48">
      <c r="A13" s="1"/>
      <c r="B13" s="17">
        <f t="shared" si="0"/>
        <v>6</v>
      </c>
      <c r="C13" s="24" t="s">
        <v>10</v>
      </c>
      <c r="D13" s="21" t="s">
        <v>22</v>
      </c>
      <c r="E13" s="21" t="s">
        <v>40</v>
      </c>
      <c r="F13" s="21" t="s">
        <v>56</v>
      </c>
      <c r="G13" s="21" t="s">
        <v>67</v>
      </c>
      <c r="H13" s="21" t="s">
        <v>84</v>
      </c>
      <c r="I13" s="21"/>
      <c r="J13" s="21" t="s">
        <v>98</v>
      </c>
      <c r="K13" s="21" t="s">
        <v>114</v>
      </c>
      <c r="L13" s="21">
        <v>3</v>
      </c>
      <c r="M13" s="21">
        <f t="shared" ref="M13" si="5">L13*5</f>
        <v>15</v>
      </c>
      <c r="N13" s="44"/>
      <c r="O13" s="46"/>
      <c r="P13" s="48"/>
      <c r="Q13" s="22">
        <f t="shared" ref="Q13" si="6">P13*N13</f>
        <v>0</v>
      </c>
      <c r="R13" s="21"/>
      <c r="S13" s="21"/>
    </row>
    <row r="14" spans="1:19">
      <c r="A14" s="1"/>
      <c r="B14" s="16">
        <f>ROW(B14) - ROW($B$7)</f>
        <v>7</v>
      </c>
      <c r="C14" s="23" t="s">
        <v>11</v>
      </c>
      <c r="D14" s="14" t="s">
        <v>23</v>
      </c>
      <c r="E14" s="14" t="s">
        <v>41</v>
      </c>
      <c r="F14" s="14" t="s">
        <v>57</v>
      </c>
      <c r="G14" s="14" t="s">
        <v>68</v>
      </c>
      <c r="H14" s="14" t="s">
        <v>85</v>
      </c>
      <c r="I14" s="14"/>
      <c r="J14" s="14" t="s">
        <v>99</v>
      </c>
      <c r="K14" s="14" t="s">
        <v>115</v>
      </c>
      <c r="L14" s="14">
        <v>2</v>
      </c>
      <c r="M14" s="14">
        <f>L14*5</f>
        <v>10</v>
      </c>
      <c r="N14" s="43"/>
      <c r="O14" s="43"/>
      <c r="P14" s="47"/>
      <c r="Q14" s="15">
        <f>P14*N14</f>
        <v>0</v>
      </c>
      <c r="R14" s="14"/>
      <c r="S14" s="20"/>
    </row>
    <row r="15" spans="1:19" ht="24">
      <c r="A15" s="1"/>
      <c r="B15" s="17">
        <f t="shared" si="0"/>
        <v>8</v>
      </c>
      <c r="C15" s="24" t="s">
        <v>12</v>
      </c>
      <c r="D15" s="21" t="s">
        <v>24</v>
      </c>
      <c r="E15" s="21" t="s">
        <v>42</v>
      </c>
      <c r="F15" s="21" t="s">
        <v>58</v>
      </c>
      <c r="G15" s="21" t="s">
        <v>69</v>
      </c>
      <c r="H15" s="21" t="s">
        <v>86</v>
      </c>
      <c r="I15" s="21"/>
      <c r="J15" s="21" t="s">
        <v>100</v>
      </c>
      <c r="K15" s="21" t="s">
        <v>69</v>
      </c>
      <c r="L15" s="21">
        <v>3</v>
      </c>
      <c r="M15" s="21">
        <f t="shared" ref="M15" si="7">L15*5</f>
        <v>15</v>
      </c>
      <c r="N15" s="44"/>
      <c r="O15" s="46"/>
      <c r="P15" s="48"/>
      <c r="Q15" s="22">
        <f t="shared" ref="Q15" si="8">P15*N15</f>
        <v>0</v>
      </c>
      <c r="R15" s="21"/>
      <c r="S15" s="21"/>
    </row>
    <row r="16" spans="1:19" ht="36">
      <c r="A16" s="1"/>
      <c r="B16" s="16">
        <f>ROW(B16) - ROW($B$7)</f>
        <v>9</v>
      </c>
      <c r="C16" s="23" t="s">
        <v>12</v>
      </c>
      <c r="D16" s="14" t="s">
        <v>25</v>
      </c>
      <c r="E16" s="14" t="s">
        <v>43</v>
      </c>
      <c r="F16" s="14" t="s">
        <v>58</v>
      </c>
      <c r="G16" s="14" t="s">
        <v>70</v>
      </c>
      <c r="H16" s="14" t="s">
        <v>87</v>
      </c>
      <c r="I16" s="14"/>
      <c r="J16" s="14" t="s">
        <v>101</v>
      </c>
      <c r="K16" s="14" t="s">
        <v>70</v>
      </c>
      <c r="L16" s="14">
        <v>1</v>
      </c>
      <c r="M16" s="14">
        <f>L16*5</f>
        <v>5</v>
      </c>
      <c r="N16" s="43"/>
      <c r="O16" s="45"/>
      <c r="P16" s="47"/>
      <c r="Q16" s="15">
        <f>P16*N16</f>
        <v>0</v>
      </c>
      <c r="R16" s="14"/>
      <c r="S16" s="20"/>
    </row>
    <row r="17" spans="1:19">
      <c r="A17" s="1"/>
      <c r="B17" s="17">
        <f t="shared" si="0"/>
        <v>10</v>
      </c>
      <c r="C17" s="24" t="s">
        <v>13</v>
      </c>
      <c r="D17" s="21" t="s">
        <v>26</v>
      </c>
      <c r="E17" s="21" t="s">
        <v>44</v>
      </c>
      <c r="F17" s="21" t="s">
        <v>59</v>
      </c>
      <c r="G17" s="21" t="s">
        <v>71</v>
      </c>
      <c r="H17" s="21" t="s">
        <v>88</v>
      </c>
      <c r="I17" s="21"/>
      <c r="J17" s="21" t="s">
        <v>102</v>
      </c>
      <c r="K17" s="21" t="s">
        <v>116</v>
      </c>
      <c r="L17" s="21">
        <v>7</v>
      </c>
      <c r="M17" s="21">
        <f t="shared" ref="M17" si="9">L17*5</f>
        <v>35</v>
      </c>
      <c r="N17" s="44"/>
      <c r="O17" s="46"/>
      <c r="P17" s="48"/>
      <c r="Q17" s="22">
        <f t="shared" ref="Q17" si="10">P17*N17</f>
        <v>0</v>
      </c>
      <c r="R17" s="21"/>
      <c r="S17" s="21"/>
    </row>
    <row r="18" spans="1:19">
      <c r="A18" s="1"/>
      <c r="B18" s="16">
        <f>ROW(B18) - ROW($B$7)</f>
        <v>11</v>
      </c>
      <c r="C18" s="23" t="s">
        <v>13</v>
      </c>
      <c r="D18" s="14" t="s">
        <v>27</v>
      </c>
      <c r="E18" s="14" t="s">
        <v>45</v>
      </c>
      <c r="F18" s="14" t="s">
        <v>59</v>
      </c>
      <c r="G18" s="14" t="s">
        <v>72</v>
      </c>
      <c r="H18" s="14" t="s">
        <v>88</v>
      </c>
      <c r="I18" s="14"/>
      <c r="J18" s="14" t="s">
        <v>103</v>
      </c>
      <c r="K18" s="14" t="s">
        <v>117</v>
      </c>
      <c r="L18" s="14">
        <v>4</v>
      </c>
      <c r="M18" s="14">
        <f>L18*5</f>
        <v>20</v>
      </c>
      <c r="N18" s="43"/>
      <c r="O18" s="45"/>
      <c r="P18" s="47"/>
      <c r="Q18" s="15">
        <f>P18*N18</f>
        <v>0</v>
      </c>
      <c r="R18" s="14"/>
      <c r="S18" s="20"/>
    </row>
    <row r="19" spans="1:19">
      <c r="A19" s="1"/>
      <c r="B19" s="17">
        <f t="shared" si="0"/>
        <v>12</v>
      </c>
      <c r="C19" s="24" t="s">
        <v>13</v>
      </c>
      <c r="D19" s="21" t="s">
        <v>28</v>
      </c>
      <c r="E19" s="21" t="s">
        <v>46</v>
      </c>
      <c r="F19" s="21" t="s">
        <v>59</v>
      </c>
      <c r="G19" s="21" t="s">
        <v>73</v>
      </c>
      <c r="H19" s="21" t="s">
        <v>88</v>
      </c>
      <c r="I19" s="21"/>
      <c r="J19" s="21" t="s">
        <v>104</v>
      </c>
      <c r="K19" s="21" t="s">
        <v>118</v>
      </c>
      <c r="L19" s="21">
        <v>3</v>
      </c>
      <c r="M19" s="21">
        <f t="shared" ref="M19" si="11">L19*5</f>
        <v>15</v>
      </c>
      <c r="N19" s="44"/>
      <c r="O19" s="46"/>
      <c r="P19" s="48"/>
      <c r="Q19" s="22">
        <f t="shared" ref="Q19" si="12">P19*N19</f>
        <v>0</v>
      </c>
      <c r="R19" s="21"/>
      <c r="S19" s="21"/>
    </row>
    <row r="20" spans="1:19" ht="36">
      <c r="A20" s="1"/>
      <c r="B20" s="16">
        <f>ROW(B20) - ROW($B$7)</f>
        <v>13</v>
      </c>
      <c r="C20" s="23" t="s">
        <v>13</v>
      </c>
      <c r="D20" s="14" t="s">
        <v>29</v>
      </c>
      <c r="E20" s="14" t="s">
        <v>47</v>
      </c>
      <c r="F20" s="14" t="s">
        <v>59</v>
      </c>
      <c r="G20" s="14" t="s">
        <v>74</v>
      </c>
      <c r="H20" s="14" t="s">
        <v>89</v>
      </c>
      <c r="I20" s="14"/>
      <c r="J20" s="14" t="s">
        <v>105</v>
      </c>
      <c r="K20" s="14" t="s">
        <v>119</v>
      </c>
      <c r="L20" s="14">
        <v>3</v>
      </c>
      <c r="M20" s="14">
        <f>L20*5</f>
        <v>15</v>
      </c>
      <c r="N20" s="43"/>
      <c r="O20" s="45"/>
      <c r="P20" s="47"/>
      <c r="Q20" s="15">
        <f>P20*N20</f>
        <v>0</v>
      </c>
      <c r="R20" s="14"/>
      <c r="S20" s="20"/>
    </row>
    <row r="21" spans="1:19">
      <c r="A21" s="1"/>
      <c r="B21" s="17">
        <f t="shared" si="0"/>
        <v>14</v>
      </c>
      <c r="C21" s="24" t="s">
        <v>13</v>
      </c>
      <c r="D21" s="21" t="s">
        <v>30</v>
      </c>
      <c r="E21" s="21" t="s">
        <v>48</v>
      </c>
      <c r="F21" s="21" t="s">
        <v>59</v>
      </c>
      <c r="G21" s="21" t="s">
        <v>75</v>
      </c>
      <c r="H21" s="21" t="s">
        <v>88</v>
      </c>
      <c r="I21" s="21"/>
      <c r="J21" s="21" t="s">
        <v>106</v>
      </c>
      <c r="K21" s="21" t="s">
        <v>120</v>
      </c>
      <c r="L21" s="21">
        <v>3</v>
      </c>
      <c r="M21" s="21">
        <f t="shared" ref="M21" si="13">L21*5</f>
        <v>15</v>
      </c>
      <c r="N21" s="44"/>
      <c r="O21" s="46"/>
      <c r="P21" s="48"/>
      <c r="Q21" s="22">
        <f t="shared" ref="Q21" si="14">P21*N21</f>
        <v>0</v>
      </c>
      <c r="R21" s="21"/>
      <c r="S21" s="21"/>
    </row>
    <row r="22" spans="1:19" ht="36">
      <c r="A22" s="1"/>
      <c r="B22" s="16">
        <f>ROW(B22) - ROW($B$7)</f>
        <v>15</v>
      </c>
      <c r="C22" s="23" t="s">
        <v>13</v>
      </c>
      <c r="D22" s="14" t="s">
        <v>31</v>
      </c>
      <c r="E22" s="14" t="s">
        <v>49</v>
      </c>
      <c r="F22" s="14" t="s">
        <v>60</v>
      </c>
      <c r="G22" s="14" t="s">
        <v>76</v>
      </c>
      <c r="H22" s="14" t="s">
        <v>90</v>
      </c>
      <c r="I22" s="14"/>
      <c r="J22" s="14" t="s">
        <v>107</v>
      </c>
      <c r="K22" s="14" t="s">
        <v>121</v>
      </c>
      <c r="L22" s="14">
        <v>1</v>
      </c>
      <c r="M22" s="14">
        <f>L22*5</f>
        <v>5</v>
      </c>
      <c r="N22" s="43"/>
      <c r="O22" s="45"/>
      <c r="P22" s="47"/>
      <c r="Q22" s="15">
        <f>P22*N22</f>
        <v>0</v>
      </c>
      <c r="R22" s="14"/>
      <c r="S22" s="20"/>
    </row>
    <row r="23" spans="1:19">
      <c r="A23" s="1"/>
      <c r="B23" s="17">
        <f t="shared" si="0"/>
        <v>16</v>
      </c>
      <c r="C23" s="24" t="s">
        <v>14</v>
      </c>
      <c r="D23" s="21" t="s">
        <v>32</v>
      </c>
      <c r="E23" s="21" t="s">
        <v>50</v>
      </c>
      <c r="F23" s="21" t="s">
        <v>61</v>
      </c>
      <c r="G23" s="21" t="s">
        <v>77</v>
      </c>
      <c r="H23" s="21" t="s">
        <v>91</v>
      </c>
      <c r="I23" s="21"/>
      <c r="J23" s="21"/>
      <c r="K23" s="21" t="s">
        <v>77</v>
      </c>
      <c r="L23" s="21">
        <v>1</v>
      </c>
      <c r="M23" s="21">
        <f t="shared" ref="M23" si="15">L23*5</f>
        <v>5</v>
      </c>
      <c r="N23" s="44"/>
      <c r="O23" s="46"/>
      <c r="P23" s="48"/>
      <c r="Q23" s="22">
        <f t="shared" ref="Q23" si="16">P23*N23</f>
        <v>0</v>
      </c>
      <c r="R23" s="21"/>
      <c r="S23" s="21"/>
    </row>
    <row r="24" spans="1:19" ht="15.75" thickBot="1">
      <c r="A24" s="1"/>
      <c r="B24" s="16">
        <f>ROW(B24) - ROW($B$7)</f>
        <v>17</v>
      </c>
      <c r="C24" s="23" t="s">
        <v>15</v>
      </c>
      <c r="D24" s="14" t="s">
        <v>33</v>
      </c>
      <c r="E24" s="14" t="s">
        <v>51</v>
      </c>
      <c r="F24" s="14" t="s">
        <v>62</v>
      </c>
      <c r="G24" s="14" t="s">
        <v>78</v>
      </c>
      <c r="H24" s="14" t="s">
        <v>92</v>
      </c>
      <c r="I24" s="14"/>
      <c r="J24" s="14" t="s">
        <v>108</v>
      </c>
      <c r="K24" s="14" t="s">
        <v>78</v>
      </c>
      <c r="L24" s="14">
        <v>1</v>
      </c>
      <c r="M24" s="14">
        <f>L24*5</f>
        <v>5</v>
      </c>
      <c r="N24" s="43"/>
      <c r="O24" s="45"/>
      <c r="P24" s="47"/>
      <c r="Q24" s="15">
        <f>P24*N24</f>
        <v>0</v>
      </c>
      <c r="R24" s="14"/>
      <c r="S24" s="20"/>
    </row>
    <row r="25" spans="1:19" ht="19.5" thickBo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51" t="s">
        <v>3</v>
      </c>
      <c r="O25" s="52"/>
      <c r="P25" s="52"/>
      <c r="Q25" s="18">
        <f>SUM(Q8:Q24)</f>
        <v>1.1200000000000001</v>
      </c>
      <c r="R25" s="1"/>
      <c r="S25" s="1"/>
    </row>
    <row r="26" spans="1:19" ht="19.5" thickBo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51" t="s">
        <v>4</v>
      </c>
      <c r="O26" s="52"/>
      <c r="P26" s="52"/>
      <c r="Q26" s="19">
        <f>Q25/5</f>
        <v>0.22400000000000003</v>
      </c>
      <c r="R26" s="1"/>
      <c r="S26" s="1"/>
    </row>
    <row r="38" spans="13:13">
      <c r="M38" s="39"/>
    </row>
  </sheetData>
  <mergeCells count="4">
    <mergeCell ref="K1:S1"/>
    <mergeCell ref="S2:S6"/>
    <mergeCell ref="N25:P25"/>
    <mergeCell ref="N26:P26"/>
  </mergeCells>
  <hyperlinks>
    <hyperlink ref="O8" r:id="rId1" xr:uid="{BA3F299B-A3CE-4349-AEF9-C4022D11D654}"/>
    <hyperlink ref="O9" r:id="rId2" xr:uid="{67A7F3FB-1AC8-45ED-BE3E-16E244636D00}"/>
    <hyperlink ref="O10" r:id="rId3" xr:uid="{A83FBDAD-6A51-4946-87D6-534FFEBD7ADE}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 Boards</vt:lpstr>
      <vt:lpstr>1000 Boards</vt:lpstr>
      <vt:lpstr>5 Boards Low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2024-05-14T14:34:52Z</dcterms:modified>
</cp:coreProperties>
</file>