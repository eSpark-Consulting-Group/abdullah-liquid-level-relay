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0"/>
  <workbookPr codeName="ThisWorkbook"/>
  <mc:AlternateContent xmlns:mc="http://schemas.openxmlformats.org/markup-compatibility/2006">
    <mc:Choice Requires="x15">
      <x15ac:absPath xmlns:x15ac="http://schemas.microsoft.com/office/spreadsheetml/2010/11/ac" url="D:\eSpark-Consultants\abdullah-liquidlevelrelay\Design Files\LLR-05U (Advance Version)\Main Board\Client BOM\"/>
    </mc:Choice>
  </mc:AlternateContent>
  <xr:revisionPtr revIDLastSave="0" documentId="13_ncr:1_{96AE7173-7AEC-412D-8E7F-590F6DD138B3}" xr6:coauthVersionLast="36" xr6:coauthVersionMax="3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18" i="1" l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<sst xmlns="http://schemas.openxmlformats.org/spreadsheetml/2006/main" count="123" uniqueCount="94">
  <si>
    <t>#</t>
  </si>
  <si>
    <t>Item Type</t>
  </si>
  <si>
    <t>Capacitor</t>
  </si>
  <si>
    <t>Bridge Rectifier</t>
  </si>
  <si>
    <t>Diode</t>
  </si>
  <si>
    <t>Screw terminal</t>
  </si>
  <si>
    <t>Pin Header</t>
  </si>
  <si>
    <t>Relay</t>
  </si>
  <si>
    <t>Transistors</t>
  </si>
  <si>
    <t>Resistor</t>
  </si>
  <si>
    <t>Transformer</t>
  </si>
  <si>
    <t>Optocoupler</t>
  </si>
  <si>
    <t>Designator</t>
  </si>
  <si>
    <t>C1</t>
  </si>
  <si>
    <t>C5</t>
  </si>
  <si>
    <t>D1, D3</t>
  </si>
  <si>
    <t>D2</t>
  </si>
  <si>
    <t>D4, D5, D6</t>
  </si>
  <si>
    <t>J1, J2</t>
  </si>
  <si>
    <t>J3</t>
  </si>
  <si>
    <t>J4</t>
  </si>
  <si>
    <t>K1</t>
  </si>
  <si>
    <t>Q2, Q4</t>
  </si>
  <si>
    <t>R1</t>
  </si>
  <si>
    <t>R7, R-U1</t>
  </si>
  <si>
    <t>R11, R25</t>
  </si>
  <si>
    <t>R13, R14</t>
  </si>
  <si>
    <t>T1</t>
  </si>
  <si>
    <t>U1, U2</t>
  </si>
  <si>
    <t>Description</t>
  </si>
  <si>
    <t>330uF 35V ±20% 860mA@100kHz Plugin,D8xL14mm Aluminum Electrolytic Capacitors - Leaded ROHS</t>
  </si>
  <si>
    <t>47uF 50V ±20% 180mA@100kHz Plugin,D6.3xL12mm Aluminum Electrolytic Capacitors - Leaded ROHS</t>
  </si>
  <si>
    <t>35A 1.1V@400mA 1A 1kV MBS Bridge Rectifiers ROHS</t>
  </si>
  <si>
    <t>75V 1V@10mA 4ns 200mA LL-34 Switching Diode ROHS</t>
  </si>
  <si>
    <t>1A 1.1V@1A 1kV DO-214AC Diodes - General Purpose ROHS</t>
  </si>
  <si>
    <t>Copper Alloy 1x3P Tin 6.35mm 4 1 3 -40℃~+105℃ 30A 300V Green 10~26 Straight Plugin,P=6.35mm Screw terminal ROHS</t>
  </si>
  <si>
    <t>Copper Alloy 1x2P Tin 6.35mm 4 1 2 -40℃~+105℃ 30A 300V Green 10~26 Straight Plugin,P=6.35mm Screw terminal ROHS</t>
  </si>
  <si>
    <t>12V SPDT (1 Form C) Plugin,15.2x19mm Power Relays ROHS</t>
  </si>
  <si>
    <t>65V 200mW 220@2mA,5V 100mA PNP SOT-23 Bipolar Transistors - BJT ROHS</t>
  </si>
  <si>
    <t>125mW Thick Film Resistors 150V ±1% ±200ppm/℃ 10Ω 0805 Chip Resistor - Surface Mount ROHS</t>
  </si>
  <si>
    <t>250mW Thick Film Resistors 200V ±100ppm/℃ ±1% 2.2kΩ 1206 Chip Resistor - Surface Mount ROHS</t>
  </si>
  <si>
    <t>RES SMD 1K OHM 0.1% 1/10W 0603</t>
  </si>
  <si>
    <t>RES SMD 47K OHM 0.1% 1/10W 0603</t>
  </si>
  <si>
    <t>Power 2VA 220V / 6Vx2/7.5Vx2/9Vx2/12Vx2/15Vx2/18Vx2/24Vx2 Encapsulated For PCB Mounted Isolation Transformer</t>
  </si>
  <si>
    <t>80V 3.75kV 50mA 300mV@2.4mA,8mA 1 5V 1.25V DC SOP-4-2.54mm Transistor Output Optocoupler ROHS</t>
  </si>
  <si>
    <t>Footprint</t>
  </si>
  <si>
    <t>RC035M331LO8*14TH-2A1E</t>
  </si>
  <si>
    <t>SMA(DO-214AC)</t>
  </si>
  <si>
    <t>MX635-6.35-03P-GN01-Cu-PS-A</t>
  </si>
  <si>
    <t>MX635-6.35-02P-GN01-Cu-PS-A</t>
  </si>
  <si>
    <t>HF3FA-012-ZSTF</t>
  </si>
  <si>
    <t>SOT-23</t>
  </si>
  <si>
    <t>RES-0805</t>
  </si>
  <si>
    <t>Res-1206</t>
  </si>
  <si>
    <t>Res-0603</t>
  </si>
  <si>
    <t>PE2818-I</t>
  </si>
  <si>
    <t>Manufacturer Part Number</t>
  </si>
  <si>
    <t>03EC0571</t>
  </si>
  <si>
    <t>MB10S</t>
  </si>
  <si>
    <t>LL4148</t>
  </si>
  <si>
    <t>M7</t>
  </si>
  <si>
    <t>BC856B</t>
  </si>
  <si>
    <t>0805W8F100JT5E</t>
  </si>
  <si>
    <t>1206W4F2201T5E</t>
  </si>
  <si>
    <t>RT0603BRD071KL</t>
  </si>
  <si>
    <t>RT0603BRD0747KL</t>
  </si>
  <si>
    <t>TLP185(GB-TPL,SE(T</t>
  </si>
  <si>
    <t>Manufacturer</t>
  </si>
  <si>
    <t>BERYL Electronic Tech</t>
  </si>
  <si>
    <t>KNSCHA</t>
  </si>
  <si>
    <t>MDD</t>
  </si>
  <si>
    <t>MSKSEMI</t>
  </si>
  <si>
    <t>MAX</t>
  </si>
  <si>
    <t>Liansheng</t>
  </si>
  <si>
    <t>HF(宏发)</t>
  </si>
  <si>
    <t>Guangdong Hottech</t>
  </si>
  <si>
    <t>Royal Electronic Factory</t>
  </si>
  <si>
    <t>Uniroyal</t>
  </si>
  <si>
    <t>Yageo</t>
  </si>
  <si>
    <t>YHDC</t>
  </si>
  <si>
    <t>TOSHIBA</t>
  </si>
  <si>
    <t>330uF</t>
  </si>
  <si>
    <t>47uF</t>
  </si>
  <si>
    <t>10R</t>
  </si>
  <si>
    <t>2.2K</t>
  </si>
  <si>
    <t>1K</t>
  </si>
  <si>
    <t>47K</t>
  </si>
  <si>
    <t>Quantity</t>
  </si>
  <si>
    <t>Remarks</t>
  </si>
  <si>
    <t>Value</t>
  </si>
  <si>
    <t>Custom</t>
  </si>
  <si>
    <t>-</t>
  </si>
  <si>
    <t>Straight Square Pins 10P, 40mm total length of the pins, 2.54mm pitch, Black 2x5P 2.54mm Plugin,P=2.54mm Pin Headers</t>
  </si>
  <si>
    <t>This pin header is unavailable on LCSC. To source it, we have to consider the following link: https://www.aliexpress.us/item/3256804657327800.html?gatewayAdapt=4itemAdapt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</si>
</sst>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6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18"/>
  <sheetViews>
    <sheetView tabSelected="1" workbookViewId="0">
      <selection activeCell="N8" sqref="N8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6.140625" bestFit="1" customWidth="1"/>
    <col min="10" max="10" width="8.7109375" bestFit="1" customWidth="1"/>
    <col min="11" max="11" width="29.7109375" customWidth="1"/>
  </cols>
  <sheetData>
    <row r="1" spans="1:13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3" ht="15.75" thickBot="1" x14ac:dyDescent="0.3">
      <c r="A2" s="1"/>
      <c r="B2" s="5" t="s">
        <v>0</v>
      </c>
      <c r="C2" s="5" t="s">
        <v>1</v>
      </c>
      <c r="D2" s="5" t="s">
        <v>12</v>
      </c>
      <c r="E2" s="6" t="s">
        <v>29</v>
      </c>
      <c r="F2" s="5" t="s">
        <v>45</v>
      </c>
      <c r="G2" s="6" t="s">
        <v>56</v>
      </c>
      <c r="H2" s="5" t="s">
        <v>67</v>
      </c>
      <c r="I2" s="6" t="s">
        <v>89</v>
      </c>
      <c r="J2" s="5" t="s">
        <v>87</v>
      </c>
      <c r="K2" s="5" t="s">
        <v>88</v>
      </c>
    </row>
    <row r="3" spans="1:13" ht="48.75" thickBot="1" x14ac:dyDescent="0.3">
      <c r="A3" s="1"/>
      <c r="B3" s="11">
        <f>ROW(B3) - ROW($B$2)</f>
        <v>1</v>
      </c>
      <c r="C3" s="12" t="s">
        <v>2</v>
      </c>
      <c r="D3" s="7" t="s">
        <v>13</v>
      </c>
      <c r="E3" s="8" t="s">
        <v>30</v>
      </c>
      <c r="F3" s="7" t="s">
        <v>90</v>
      </c>
      <c r="G3" s="8" t="s">
        <v>46</v>
      </c>
      <c r="H3" s="7" t="s">
        <v>68</v>
      </c>
      <c r="I3" s="8" t="s">
        <v>81</v>
      </c>
      <c r="J3" s="7">
        <v>1</v>
      </c>
      <c r="K3" s="7"/>
    </row>
    <row r="4" spans="1:13" ht="48.75" thickBot="1" x14ac:dyDescent="0.3">
      <c r="A4" s="1"/>
      <c r="B4" s="11">
        <f t="shared" ref="B4:B18" si="0">ROW(B4) - ROW($B$2)</f>
        <v>2</v>
      </c>
      <c r="C4" s="13" t="s">
        <v>2</v>
      </c>
      <c r="D4" s="9" t="s">
        <v>14</v>
      </c>
      <c r="E4" s="10" t="s">
        <v>31</v>
      </c>
      <c r="F4" s="9" t="s">
        <v>90</v>
      </c>
      <c r="G4" s="10" t="s">
        <v>57</v>
      </c>
      <c r="H4" s="9" t="s">
        <v>69</v>
      </c>
      <c r="I4" s="10" t="s">
        <v>82</v>
      </c>
      <c r="J4" s="9">
        <v>1</v>
      </c>
      <c r="K4" s="9"/>
    </row>
    <row r="5" spans="1:13" ht="24.75" thickBot="1" x14ac:dyDescent="0.3">
      <c r="A5" s="1"/>
      <c r="B5" s="11">
        <f>ROW(B5) - ROW($B$2)</f>
        <v>3</v>
      </c>
      <c r="C5" s="12" t="s">
        <v>3</v>
      </c>
      <c r="D5" s="7" t="s">
        <v>15</v>
      </c>
      <c r="E5" s="8" t="s">
        <v>32</v>
      </c>
      <c r="F5" s="7" t="s">
        <v>90</v>
      </c>
      <c r="G5" s="8" t="s">
        <v>58</v>
      </c>
      <c r="H5" s="7" t="s">
        <v>70</v>
      </c>
      <c r="I5" s="8" t="s">
        <v>58</v>
      </c>
      <c r="J5" s="7">
        <v>2</v>
      </c>
      <c r="K5" s="7"/>
    </row>
    <row r="6" spans="1:13" ht="24.75" thickBot="1" x14ac:dyDescent="0.3">
      <c r="A6" s="1"/>
      <c r="B6" s="11">
        <f t="shared" si="0"/>
        <v>4</v>
      </c>
      <c r="C6" s="13" t="s">
        <v>4</v>
      </c>
      <c r="D6" s="9" t="s">
        <v>16</v>
      </c>
      <c r="E6" s="10" t="s">
        <v>33</v>
      </c>
      <c r="F6" s="9" t="s">
        <v>90</v>
      </c>
      <c r="G6" s="10" t="s">
        <v>59</v>
      </c>
      <c r="H6" s="9" t="s">
        <v>70</v>
      </c>
      <c r="I6" s="10" t="s">
        <v>59</v>
      </c>
      <c r="J6" s="9">
        <v>1</v>
      </c>
      <c r="K6" s="9"/>
    </row>
    <row r="7" spans="1:13" ht="24.75" thickBot="1" x14ac:dyDescent="0.3">
      <c r="A7" s="1"/>
      <c r="B7" s="11">
        <f>ROW(B7) - ROW($B$2)</f>
        <v>5</v>
      </c>
      <c r="C7" s="12" t="s">
        <v>4</v>
      </c>
      <c r="D7" s="7" t="s">
        <v>17</v>
      </c>
      <c r="E7" s="8" t="s">
        <v>34</v>
      </c>
      <c r="F7" s="7" t="s">
        <v>47</v>
      </c>
      <c r="G7" s="8" t="s">
        <v>60</v>
      </c>
      <c r="H7" s="7" t="s">
        <v>71</v>
      </c>
      <c r="I7" s="8" t="s">
        <v>60</v>
      </c>
      <c r="J7" s="7">
        <v>3</v>
      </c>
      <c r="K7" s="7"/>
    </row>
    <row r="8" spans="1:13" ht="48.75" thickBot="1" x14ac:dyDescent="0.3">
      <c r="A8" s="1"/>
      <c r="B8" s="11">
        <f t="shared" si="0"/>
        <v>6</v>
      </c>
      <c r="C8" s="13" t="s">
        <v>5</v>
      </c>
      <c r="D8" s="9" t="s">
        <v>18</v>
      </c>
      <c r="E8" s="10" t="s">
        <v>35</v>
      </c>
      <c r="F8" s="9" t="s">
        <v>90</v>
      </c>
      <c r="G8" s="10" t="s">
        <v>48</v>
      </c>
      <c r="H8" s="9" t="s">
        <v>72</v>
      </c>
      <c r="I8" s="10" t="s">
        <v>91</v>
      </c>
      <c r="J8" s="9">
        <v>2</v>
      </c>
      <c r="K8" s="9"/>
    </row>
    <row r="9" spans="1:13" ht="48.75" thickBot="1" x14ac:dyDescent="0.3">
      <c r="A9" s="1"/>
      <c r="B9" s="11">
        <f>ROW(B9) - ROW($B$2)</f>
        <v>7</v>
      </c>
      <c r="C9" s="12" t="s">
        <v>5</v>
      </c>
      <c r="D9" s="7" t="s">
        <v>19</v>
      </c>
      <c r="E9" s="8" t="s">
        <v>36</v>
      </c>
      <c r="F9" s="7" t="s">
        <v>90</v>
      </c>
      <c r="G9" s="8" t="s">
        <v>49</v>
      </c>
      <c r="H9" s="7" t="s">
        <v>72</v>
      </c>
      <c r="I9" s="10" t="s">
        <v>91</v>
      </c>
      <c r="J9" s="7">
        <v>1</v>
      </c>
      <c r="K9" s="7"/>
    </row>
    <row r="10" spans="1:13" ht="72.75" thickBot="1" x14ac:dyDescent="0.3">
      <c r="A10" s="1"/>
      <c r="B10" s="11">
        <f t="shared" si="0"/>
        <v>8</v>
      </c>
      <c r="C10" s="13" t="s">
        <v>6</v>
      </c>
      <c r="D10" s="9" t="s">
        <v>20</v>
      </c>
      <c r="E10" s="10" t="s">
        <v>92</v>
      </c>
      <c r="F10" s="9" t="s">
        <v>90</v>
      </c>
      <c r="G10" s="10" t="s">
        <v>90</v>
      </c>
      <c r="H10" s="9" t="s">
        <v>73</v>
      </c>
      <c r="I10" s="10" t="s">
        <v>91</v>
      </c>
      <c r="J10" s="9">
        <v>1</v>
      </c>
      <c r="K10" s="9" t="s">
        <v>93</v>
      </c>
      <c r="M10" s="15"/>
    </row>
    <row r="11" spans="1:13" ht="36.75" thickBot="1" x14ac:dyDescent="0.3">
      <c r="A11" s="1"/>
      <c r="B11" s="11">
        <f>ROW(B11) - ROW($B$2)</f>
        <v>9</v>
      </c>
      <c r="C11" s="12" t="s">
        <v>7</v>
      </c>
      <c r="D11" s="7" t="s">
        <v>21</v>
      </c>
      <c r="E11" s="8" t="s">
        <v>37</v>
      </c>
      <c r="F11" s="7" t="s">
        <v>90</v>
      </c>
      <c r="G11" s="8" t="s">
        <v>50</v>
      </c>
      <c r="H11" s="7" t="s">
        <v>74</v>
      </c>
      <c r="I11" s="10" t="s">
        <v>91</v>
      </c>
      <c r="J11" s="7">
        <v>1</v>
      </c>
      <c r="K11" s="7"/>
    </row>
    <row r="12" spans="1:13" ht="36.75" thickBot="1" x14ac:dyDescent="0.3">
      <c r="A12" s="1"/>
      <c r="B12" s="11">
        <f t="shared" si="0"/>
        <v>10</v>
      </c>
      <c r="C12" s="13" t="s">
        <v>8</v>
      </c>
      <c r="D12" s="9" t="s">
        <v>22</v>
      </c>
      <c r="E12" s="10" t="s">
        <v>38</v>
      </c>
      <c r="F12" s="9" t="s">
        <v>51</v>
      </c>
      <c r="G12" s="10" t="s">
        <v>61</v>
      </c>
      <c r="H12" s="9" t="s">
        <v>75</v>
      </c>
      <c r="I12" s="10" t="s">
        <v>91</v>
      </c>
      <c r="J12" s="9">
        <v>2</v>
      </c>
      <c r="K12" s="9"/>
    </row>
    <row r="13" spans="1:13" ht="36.75" thickBot="1" x14ac:dyDescent="0.3">
      <c r="A13" s="1"/>
      <c r="B13" s="11">
        <f>ROW(B13) - ROW($B$2)</f>
        <v>11</v>
      </c>
      <c r="C13" s="12" t="s">
        <v>9</v>
      </c>
      <c r="D13" s="7" t="s">
        <v>23</v>
      </c>
      <c r="E13" s="8" t="s">
        <v>39</v>
      </c>
      <c r="F13" s="7" t="s">
        <v>52</v>
      </c>
      <c r="G13" s="8" t="s">
        <v>62</v>
      </c>
      <c r="H13" s="7" t="s">
        <v>76</v>
      </c>
      <c r="I13" s="8" t="s">
        <v>83</v>
      </c>
      <c r="J13" s="7">
        <v>1</v>
      </c>
      <c r="K13" s="7"/>
    </row>
    <row r="14" spans="1:13" ht="36.75" thickBot="1" x14ac:dyDescent="0.3">
      <c r="A14" s="1"/>
      <c r="B14" s="11">
        <f t="shared" si="0"/>
        <v>12</v>
      </c>
      <c r="C14" s="13" t="s">
        <v>9</v>
      </c>
      <c r="D14" s="9" t="s">
        <v>24</v>
      </c>
      <c r="E14" s="10" t="s">
        <v>40</v>
      </c>
      <c r="F14" s="9" t="s">
        <v>53</v>
      </c>
      <c r="G14" s="10" t="s">
        <v>63</v>
      </c>
      <c r="H14" s="9" t="s">
        <v>77</v>
      </c>
      <c r="I14" s="10" t="s">
        <v>84</v>
      </c>
      <c r="J14" s="9">
        <v>2</v>
      </c>
      <c r="K14" s="9"/>
    </row>
    <row r="15" spans="1:13" ht="15.75" thickBot="1" x14ac:dyDescent="0.3">
      <c r="A15" s="1"/>
      <c r="B15" s="11">
        <f>ROW(B15) - ROW($B$2)</f>
        <v>13</v>
      </c>
      <c r="C15" s="12" t="s">
        <v>9</v>
      </c>
      <c r="D15" s="7" t="s">
        <v>25</v>
      </c>
      <c r="E15" s="8" t="s">
        <v>41</v>
      </c>
      <c r="F15" s="7" t="s">
        <v>54</v>
      </c>
      <c r="G15" s="8" t="s">
        <v>64</v>
      </c>
      <c r="H15" s="7" t="s">
        <v>78</v>
      </c>
      <c r="I15" s="8" t="s">
        <v>85</v>
      </c>
      <c r="J15" s="7">
        <v>2</v>
      </c>
      <c r="K15" s="7"/>
    </row>
    <row r="16" spans="1:13" ht="15.75" thickBot="1" x14ac:dyDescent="0.3">
      <c r="A16" s="1"/>
      <c r="B16" s="11">
        <f t="shared" si="0"/>
        <v>14</v>
      </c>
      <c r="C16" s="13" t="s">
        <v>9</v>
      </c>
      <c r="D16" s="9" t="s">
        <v>26</v>
      </c>
      <c r="E16" s="10" t="s">
        <v>42</v>
      </c>
      <c r="F16" s="9" t="s">
        <v>54</v>
      </c>
      <c r="G16" s="10" t="s">
        <v>65</v>
      </c>
      <c r="H16" s="9" t="s">
        <v>78</v>
      </c>
      <c r="I16" s="10" t="s">
        <v>86</v>
      </c>
      <c r="J16" s="9">
        <v>2</v>
      </c>
      <c r="K16" s="9"/>
    </row>
    <row r="17" spans="1:11" ht="48.75" thickBot="1" x14ac:dyDescent="0.3">
      <c r="A17" s="1"/>
      <c r="B17" s="11">
        <f>ROW(B17) - ROW($B$2)</f>
        <v>15</v>
      </c>
      <c r="C17" s="12" t="s">
        <v>10</v>
      </c>
      <c r="D17" s="7" t="s">
        <v>27</v>
      </c>
      <c r="E17" s="8" t="s">
        <v>43</v>
      </c>
      <c r="F17" s="7" t="s">
        <v>90</v>
      </c>
      <c r="G17" s="8" t="s">
        <v>55</v>
      </c>
      <c r="H17" s="7" t="s">
        <v>79</v>
      </c>
      <c r="I17" s="8" t="s">
        <v>91</v>
      </c>
      <c r="J17" s="7">
        <v>1</v>
      </c>
      <c r="K17" s="7"/>
    </row>
    <row r="18" spans="1:11" ht="36.75" thickBot="1" x14ac:dyDescent="0.3">
      <c r="A18" s="1"/>
      <c r="B18" s="11">
        <f t="shared" si="0"/>
        <v>16</v>
      </c>
      <c r="C18" s="13" t="s">
        <v>11</v>
      </c>
      <c r="D18" s="9" t="s">
        <v>28</v>
      </c>
      <c r="E18" s="10" t="s">
        <v>44</v>
      </c>
      <c r="F18" s="9" t="s">
        <v>90</v>
      </c>
      <c r="G18" s="10" t="s">
        <v>66</v>
      </c>
      <c r="H18" s="9" t="s">
        <v>80</v>
      </c>
      <c r="I18" s="8" t="s">
        <v>91</v>
      </c>
      <c r="J18" s="9">
        <v>2</v>
      </c>
      <c r="K18" s="9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eSpark</cp:lastModifiedBy>
  <dcterms:created xsi:type="dcterms:W3CDTF">2019-12-12T10:34:26Z</dcterms:created>
  <dcterms:modified xsi:type="dcterms:W3CDTF">2024-06-03T12:23:34Z</dcterms:modified>
</cp:coreProperties>
</file>